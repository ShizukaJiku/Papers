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500" firstSheet="0" activeTab="0" autoFilterDateGrouping="1"/>
  </bookViews>
  <sheets>
    <sheet xmlns:r="http://schemas.openxmlformats.org/officeDocument/2006/relationships" name="LEEME" sheetId="1" state="visible" r:id="rId1"/>
    <sheet xmlns:r="http://schemas.openxmlformats.org/officeDocument/2006/relationships" name="Candidatos" sheetId="2" state="visible" r:id="rId2"/>
    <sheet xmlns:r="http://schemas.openxmlformats.org/officeDocument/2006/relationships" name="Conteo" sheetId="3" state="visible" r:id="rId3"/>
    <sheet xmlns:r="http://schemas.openxmlformats.org/officeDocument/2006/relationships" name="Preseleccionados" sheetId="4" state="visible" r:id="rId4"/>
  </sheets>
  <definedNames>
    <definedName name="_xlnm._FilterDatabase" localSheetId="1" hidden="1">'Candidatos'!$A$2:$R$402</definedName>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1F3864"/>
      <sz val="14"/>
    </font>
    <font>
      <name val="Arial"/>
      <charset val="1"/>
      <b val="1"/>
      <sz val="10"/>
    </font>
    <font>
      <name val="Arial"/>
      <charset val="1"/>
      <sz val="10"/>
    </font>
    <font>
      <name val="Arial"/>
      <charset val="1"/>
      <b val="1"/>
      <color rgb="FFFFFFFF"/>
      <sz val="10"/>
    </font>
    <font>
      <name val="Arial"/>
      <charset val="1"/>
      <sz val="9"/>
    </font>
    <font>
      <name val="Arial"/>
      <charset val="1"/>
      <i val="1"/>
      <sz val="9"/>
    </font>
  </fonts>
  <fills count="9">
    <fill>
      <patternFill/>
    </fill>
    <fill>
      <patternFill patternType="gray125"/>
    </fill>
    <fill>
      <patternFill patternType="solid">
        <fgColor rgb="FF548235"/>
        <bgColor rgb="FF339966"/>
      </patternFill>
    </fill>
    <fill>
      <patternFill patternType="solid">
        <fgColor rgb="FFD9D9D9"/>
        <bgColor rgb="FFE2EFDA"/>
      </patternFill>
    </fill>
    <fill>
      <patternFill patternType="solid">
        <fgColor rgb="FFFFD966"/>
        <bgColor rgb="FFFFFF99"/>
      </patternFill>
    </fill>
    <fill>
      <patternFill patternType="solid">
        <fgColor rgb="FFE2EFDA"/>
        <bgColor rgb="FFFFF2CC"/>
      </patternFill>
    </fill>
    <fill>
      <patternFill patternType="solid">
        <fgColor rgb="FFFFF2CC"/>
        <bgColor rgb="FFE2EFDA"/>
      </patternFill>
    </fill>
    <fill>
      <patternFill patternType="solid">
        <fgColor rgb="FF1F3864"/>
        <bgColor rgb="FF333333"/>
      </patternFill>
    </fill>
    <fill>
      <patternFill patternType="solid">
        <fgColor rgb="FFA9D08E"/>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pivotButton="0" quotePrefix="0" xfId="0"/>
    <xf numFmtId="0" fontId="2" fillId="5" borderId="1" applyAlignment="1" pivotButton="0" quotePrefix="0" xfId="0">
      <alignment horizontal="center" vertical="center" wrapText="1"/>
    </xf>
    <xf numFmtId="0" fontId="2" fillId="0" borderId="1" pivotButton="0" quotePrefix="0" xfId="0"/>
    <xf numFmtId="0" fontId="2" fillId="8" borderId="1" applyAlignment="1" pivotButton="0" quotePrefix="0" xfId="0">
      <alignment horizontal="center" vertical="center" wrapText="1"/>
    </xf>
    <xf numFmtId="0" fontId="6" fillId="0" borderId="0" pivotButton="0" quotePrefix="0" xfId="0"/>
    <xf numFmtId="0" fontId="3" fillId="0" borderId="0" pivotButton="0" quotePrefix="0" xfId="0"/>
  </cellXfs>
  <cellStyles count="1">
    <cellStyle name="Normal" xfId="0" builtinId="0"/>
  </cellStyles>
  <dxfs count="2">
    <dxf>
      <font>
        <b val="1"/>
      </font>
      <fill>
        <patternFill>
          <bgColor rgb="FFA9D08E"/>
        </patternFill>
      </fill>
    </dxf>
    <dxf>
      <font>
        <color rgb="FF808080"/>
      </font>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A9D08E"/>
      <rgbColor rgb="FFFF99CC"/>
      <rgbColor rgb="FFCC99FF"/>
      <rgbColor rgb="FFFFD96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Claude (revisión 07-10-2026)</author>
  </authors>
  <commentList>
    <comment ref="N4" authorId="0" shapeId="0">
      <text>
        <t>Leído completo. Lo llama 'lavado online' pero el dataset es de fraude con tarjetas de crédito (campos cc_num, merchant...), sintético de Kaggle. No es AML ni operaciones de clientes. Además la revista (Informatica) es dudosa en cuartil.</t>
      </text>
    </comment>
    <comment ref="N6" authorId="0" shapeId="0">
      <text>
        <t>Leído completo. Fraude de tarjetas de crédito (dataset CreditCardFraud de Kaggle, 2 días de 2013), accuracy 99,99 %. La guía (ronda 4) lo excluye: no trata de operaciones raras de clientes.</t>
      </text>
    </comment>
    <comment ref="L8" authorId="0" shapeId="0">
      <text>
        <t>Dudoso: describe Anti-TrustRank pero el resumen no muestra resultados. Ante la duda, Sigue.</t>
      </text>
    </comment>
    <comment ref="M8" authorId="0" shapeId="0">
      <text>
        <t>PDF no descargado (de pago o bloqueado). Pendiente: cuartil y PDF desde biblioteca UPC.</t>
      </text>
    </comment>
    <comment ref="L10" authorId="0" shapeId="0">
      <text>
        <t>Predice sanciones a PAÍSES (Basel AML Index), no operaciones de clientes</t>
      </text>
    </comment>
    <comment ref="K12" authorId="0" shapeId="0">
      <text>
        <t>Gobernanza, no detección</t>
      </text>
    </comment>
    <comment ref="K15" authorId="0" shapeId="0">
      <text>
        <t>Ya es uno de los 5 preseleccionados (Kungu); la guía pide ponerle Sale</t>
      </text>
    </comment>
    <comment ref="L19" authorId="0" shapeId="0">
      <text>
        <t>PDF leído. MUY RELEVANTE: banco real de Pakistán, 1,77 M transacciones, 9 925 cuentas; NO supervisado (k-means y jerárquico + centralidad de grafos), las etiquetas solo se usan para evaluar: justo el caso de P5. Jerárquico: precisión 0,87, recall 0,83, AUC 0,91. Debilidades: solo 75 cuentas sospechosas, no compara contra reglas. Falta cuartil (IEEE Access) para pasar a rondas 4-5: en mi lectura pasaría ambas.</t>
      </text>
    </comment>
    <comment ref="M21" authorId="0" shapeId="0">
      <text>
        <t>PDF no descargado (de pago o bloqueado). Pendiente: cuartil y PDF desde biblioteca UPC.</t>
      </text>
    </comment>
    <comment ref="K23" authorId="0" shapeId="0">
      <text>
        <t>Análisis de sentimiento sobre regulación, no detección</t>
      </text>
    </comment>
    <comment ref="M25" authorId="0" shapeId="0">
      <text>
        <t>PDF no descargado (de pago o bloqueado). Pendiente: cuartil y PDF desde biblioteca UPC.</t>
      </text>
    </comment>
    <comment ref="M27" authorId="0" shapeId="0">
      <text>
        <t>PDF no descargado (de pago o bloqueado). Pendiente: cuartil y PDF desde biblioteca UPC.</t>
      </text>
    </comment>
    <comment ref="M29" authorId="0" shapeId="0">
      <text>
        <t>PDF no descargado (de pago o bloqueado). Pendiente: cuartil y PDF desde biblioteca UPC.</t>
      </text>
    </comment>
    <comment ref="L31" authorId="0" shapeId="0">
      <text>
        <t>PDF leído. Banco real de Japón, 2019-2020, RF supervisado, FPR 0,000 / FNR 0,005. Pero detecta transferencias NO AUTORIZADAS (robo de cuentas por phishing), no lavado ni operaciones inusuales del cliente. Ronda 4: probablemente Sale; decidir con el equipo.</t>
      </text>
    </comment>
    <comment ref="K35" authorId="0" shapeId="0">
      <text>
        <t>Implicancias legales</t>
      </text>
    </comment>
    <comment ref="M37" authorId="0" shapeId="0">
      <text>
        <t>PDF no descargado (de pago o bloqueado). Pendiente: cuartil y PDF desde biblioteca UPC.</t>
      </text>
    </comment>
    <comment ref="M39" authorId="0" shapeId="0">
      <text>
        <t>PDF no descargado (de pago o bloqueado). Pendiente: cuartil y PDF desde biblioteca UPC.</t>
      </text>
    </comment>
    <comment ref="M41" authorId="0" shapeId="0">
      <text>
        <t>PDF no descargado (de pago o bloqueado). Pendiente: cuartil y PDF desde biblioteca UPC.</t>
      </text>
    </comment>
    <comment ref="M43" authorId="0" shapeId="0">
      <text>
        <t>PDF no descargado (de pago o bloqueado). Pendiente: cuartil y PDF desde biblioteca UPC.</t>
      </text>
    </comment>
    <comment ref="K45" authorId="0" shapeId="0">
      <text>
        <t>Beneficios/riesgos de IA en banca central, no detección</t>
      </text>
    </comment>
    <comment ref="K47" authorId="0" shapeId="0">
      <text>
        <t>Contabilidad y política de cumplimiento</t>
      </text>
    </comment>
    <comment ref="K50" authorId="0" shapeId="0">
      <text>
        <t>Es un survey (CE3)</t>
      </text>
    </comment>
    <comment ref="M52" authorId="0" shapeId="0">
      <text>
        <t>PDF no descargado (de pago o bloqueado). Pendiente: cuartil y PDF desde biblioteca UPC.</t>
      </text>
    </comment>
    <comment ref="L55" authorId="0" shapeId="0">
      <text>
        <t>PDF leído. FinCEN Files (SAR filtradas, 1999-2017), Reino Unido. Compara supervisados (RF/XGBoost AUC ~0,97) vs Isolation Forest/One-Class SVM (&lt;0,75): útil para P4. Debilidades: la etiqueta la construyen ellos con su propio score de riesgo (parcialmente circular), test de solo 41 casos, transacciones banco-a-banco. Falta cuartil (IEEE Access). Ronda 4: dudoso.</t>
      </text>
    </comment>
    <comment ref="K77" authorId="0" shapeId="0">
      <text>
        <t>Es un review (CE3)</t>
      </text>
    </comment>
    <comment ref="M81" authorId="0" shapeId="0">
      <text>
        <t>PDF no descargado (de pago o bloqueado). Pendiente: cuartil y PDF desde biblioteca UPC.</t>
      </text>
    </comment>
    <comment ref="K83" authorId="0" shapeId="0">
      <text>
        <t>Blockchain (CE4)</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3"/>
  <sheetViews>
    <sheetView tabSelected="1" zoomScaleNormal="100" workbookViewId="0">
      <selection activeCell="B11" sqref="B11"/>
    </sheetView>
  </sheetViews>
  <sheetFormatPr baseColWidth="10" defaultColWidth="8.6328125" defaultRowHeight="14.5"/>
  <cols>
    <col width="6" customWidth="1" min="1" max="1"/>
    <col width="100" customWidth="1" min="2" max="2"/>
  </cols>
  <sheetData>
    <row r="1" ht="17.25" customHeight="1">
      <c r="A1" s="1" t="inlineStr">
        <is>
          <t>Cómo usar este archivo</t>
        </is>
      </c>
    </row>
    <row r="3" ht="18" customHeight="1">
      <c r="A3" s="2" t="n"/>
      <c r="B3" s="3" t="inlineStr">
        <is>
          <t>Este archivo es tu lista de artículos candidatos. Tienes 26 artículos para revisar.</t>
        </is>
      </c>
    </row>
    <row r="4" ht="18" customHeight="1">
      <c r="A4" s="2" t="n"/>
      <c r="B4" s="3" t="inlineStr">
        <is>
          <t>Ya está todo pegado. No tienes que pegar ni borrar nada.</t>
        </is>
      </c>
    </row>
    <row r="5" ht="18" customHeight="1">
      <c r="A5" s="2" t="n"/>
      <c r="B5" s="3" t="n"/>
    </row>
    <row r="6" ht="18" customHeight="1">
      <c r="A6" s="2" t="inlineStr">
        <is>
          <t>1</t>
        </is>
      </c>
      <c r="B6" s="3" t="inlineStr">
        <is>
          <t>Abre la pestaña "Candidatos". Solo verás tus filas: ya están filtradas para ti.</t>
        </is>
      </c>
    </row>
    <row r="7" ht="31.5" customHeight="1">
      <c r="A7" s="2" t="inlineStr">
        <is>
          <t>2</t>
        </is>
      </c>
      <c r="B7" s="3" t="inlineStr">
        <is>
          <t>En cada fila, escribe Sigue o Sale en las columnas amarillas de la derecha, en este orden: 1. Título, 2. Resumen, 3. Cuartil, 4. Intro y conclusiones, 5. Completo.</t>
        </is>
      </c>
    </row>
    <row r="8" ht="31.5" customHeight="1">
      <c r="A8" s="2" t="inlineStr">
        <is>
          <t>3</t>
        </is>
      </c>
      <c r="B8" s="3" t="inlineStr">
        <is>
          <t>Solo avanzas al siguiente filtro con las filas que dijeron Sigue. Para el cuartil escribes Q1, Q2, Q3, Q4 o No aparece.</t>
        </is>
      </c>
    </row>
    <row r="9" ht="18" customHeight="1">
      <c r="A9" s="2" t="inlineStr">
        <is>
          <t>4</t>
        </is>
      </c>
      <c r="B9" s="3" t="inlineStr">
        <is>
          <t>La columna Resultado te dice sola cuáles quedan APROBADO.</t>
        </is>
      </c>
    </row>
    <row r="10" ht="18" customHeight="1">
      <c r="A10" s="2" t="inlineStr">
        <is>
          <t>5</t>
        </is>
      </c>
      <c r="B10" s="3" t="inlineStr">
        <is>
          <t>Los artículos APROBADO los copias a tu otro archivo, Matriz_Joaquin.xlsx, hasta completar 12.</t>
        </is>
      </c>
    </row>
    <row r="11" ht="18" customHeight="1">
      <c r="A11" s="2" t="n"/>
      <c r="B11" s="3" t="n"/>
    </row>
    <row r="12" ht="18" customHeight="1">
      <c r="A12" s="2" t="n"/>
      <c r="B12" s="4" t="inlineStr">
        <is>
          <t>IMPORTANTE: no toques la pestaña "Conteo" ni la pestaña "Preseleccionados". Se calculan solas.</t>
        </is>
      </c>
    </row>
    <row r="13" ht="31.5" customHeight="1">
      <c r="A13" s="2" t="n"/>
      <c r="B13" s="4" t="inlineStr">
        <is>
          <t>AL TERMINAR: devuélvele este archivo a Carlos, junto con Matriz_Joaquin.xlsx, tus PDF y tus capturas de Scimago.</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R402"/>
  <sheetViews>
    <sheetView zoomScaleNormal="100" workbookViewId="0">
      <pane xSplit="2" ySplit="2" topLeftCell="C4" activePane="bottomRight" state="frozen"/>
      <selection pane="topRight" activeCell="C1" sqref="C1"/>
      <selection pane="bottomLeft" activeCell="A3" sqref="A3"/>
      <selection pane="bottomRight" activeCell="H23" sqref="H23"/>
    </sheetView>
  </sheetViews>
  <sheetFormatPr baseColWidth="10" defaultColWidth="8.6328125" defaultRowHeight="14.5"/>
  <cols>
    <col width="6" customWidth="1" min="1" max="1"/>
    <col width="44" customWidth="1" min="2" max="2"/>
    <col width="24" customWidth="1" min="3" max="3"/>
    <col width="7" customWidth="1" min="4" max="4"/>
    <col width="24" customWidth="1" min="5" max="5"/>
    <col width="26" customWidth="1" min="6" max="6"/>
    <col width="40" customWidth="1" min="7" max="7"/>
    <col width="14" customWidth="1" min="8" max="8"/>
    <col width="12" customWidth="1" min="9" max="9"/>
    <col width="11" customWidth="1" min="10" max="10"/>
    <col width="9" customWidth="1" min="11" max="11"/>
    <col width="10" customWidth="1" min="12" max="13"/>
    <col width="12" customWidth="1" min="14" max="14"/>
    <col width="10" customWidth="1" min="15" max="15"/>
    <col width="12" customWidth="1" min="16" max="16"/>
    <col width="30" customWidth="1" min="17" max="17"/>
    <col width="14" customWidth="1" min="18" max="18"/>
  </cols>
  <sheetData>
    <row r="1" ht="17.25" customHeight="1">
      <c r="A1" s="1" t="inlineStr">
        <is>
          <t>Trabaja solo tus filas (Asignado = Joaquín). Escribe Sigue o Sale en las columnas amarillas de la derecha.</t>
        </is>
      </c>
    </row>
    <row r="2" ht="36" customHeight="1">
      <c r="A2" s="5" t="inlineStr">
        <is>
          <t>N.°</t>
        </is>
      </c>
      <c r="B2" s="6" t="inlineStr">
        <is>
          <t>Título</t>
        </is>
      </c>
      <c r="C2" s="6" t="inlineStr">
        <is>
          <t>Autores</t>
        </is>
      </c>
      <c r="D2" s="6" t="inlineStr">
        <is>
          <t>Año</t>
        </is>
      </c>
      <c r="E2" s="6" t="inlineStr">
        <is>
          <t>Revista</t>
        </is>
      </c>
      <c r="F2" s="6" t="inlineStr">
        <is>
          <t>DOI</t>
        </is>
      </c>
      <c r="G2" s="6" t="inlineStr">
        <is>
          <t>Resumen</t>
        </is>
      </c>
      <c r="H2" s="6" t="inlineStr">
        <is>
          <t>Base de origen</t>
        </is>
      </c>
      <c r="I2" s="5" t="inlineStr">
        <is>
          <t>Control</t>
        </is>
      </c>
      <c r="J2" s="5" t="inlineStr">
        <is>
          <t>Asignado</t>
        </is>
      </c>
      <c r="K2" s="7" t="inlineStr">
        <is>
          <t>1. Título</t>
        </is>
      </c>
      <c r="L2" s="7" t="inlineStr">
        <is>
          <t>2. Resumen</t>
        </is>
      </c>
      <c r="M2" s="7" t="inlineStr">
        <is>
          <t>3. Cuartil</t>
        </is>
      </c>
      <c r="N2" s="7" t="inlineStr">
        <is>
          <t>4. Intro y conclusiones</t>
        </is>
      </c>
      <c r="O2" s="7" t="inlineStr">
        <is>
          <t>5. Completo</t>
        </is>
      </c>
      <c r="P2" s="5" t="inlineStr">
        <is>
          <t>Resultado</t>
        </is>
      </c>
      <c r="Q2" s="6" t="inlineStr">
        <is>
          <t>Afiliación (para el país)</t>
        </is>
      </c>
      <c r="R2" s="6" t="inlineStr">
        <is>
          <t>Búsqueda</t>
        </is>
      </c>
    </row>
    <row r="3" hidden="1" ht="60" customHeight="1">
      <c r="A3" s="8">
        <f>IF(B3="","",ROW()-2)</f>
        <v/>
      </c>
      <c r="B3" s="9" t="inlineStr">
        <is>
          <t>Machine Learning to Enhance the Detection of Terrorist Financing and Suspicious Transactions in Migrant Remittances</t>
        </is>
      </c>
      <c r="C3" s="10" t="inlineStr">
        <is>
          <t>Mbiva S.M.; Correa F.M.</t>
        </is>
      </c>
      <c r="D3" s="9" t="n">
        <v>2024</v>
      </c>
      <c r="E3" s="9" t="inlineStr">
        <is>
          <t>Journal of Risk and Financial Management</t>
        </is>
      </c>
      <c r="F3" s="9" t="inlineStr">
        <is>
          <t>10.3390/jrfm17050181</t>
        </is>
      </c>
      <c r="G3" s="10" t="inlineStr">
        <is>
          <t>Migrant remittances have become significant in poverty alleviation and microeconomic development in low-income countries. However, the ease of conducting global migrant remittance transfers has also introduced the risk of misuse by terrorist organizations to quickly move and conceal operational funds, facilitating terrorism financing. This study aims to develop an unsupervised machine learning algorithm capable of detecting suspicious financial transactions associated with terrorist financing in migrant remittances. To achieve this goal, a structural equation model (SEM) and an outlier detection algorithm were developed to analyze and identify suspicious transactions among the financial activities of migrants residing in Belgium. The results show that the SEM model classifies a significantly high number of transactions as suspicious, making it prone to detecting false positives. Finally, the study developed an ensemble outlier detection algorithm that comprises an isolation forest (IF) and a local outlier factor (LOF) to detect suspicious transactions in the same dataset. The model performed exceptionally well, being able to detect over 90% of suspicious transactions. © 2024 by the authors.</t>
        </is>
      </c>
      <c r="H3" s="9" t="inlineStr">
        <is>
          <t>Scopus</t>
        </is>
      </c>
      <c r="I3" s="8">
        <f>IF(B3="","",IF(AND(F3&lt;&gt;"",SUMPRODUCT(--ISNUMBER(SEARCH(Preseleccionados!$A$2:$A$11,F3)))&gt;0),"YA ESTÁ",IF(AND(F3&lt;&gt;"",COUNTIF($F$3:F3,F3)&gt;1),"REPETIDO","")))</f>
        <v/>
      </c>
      <c r="J3" s="8">
        <f>IF(OR(B3="",I3&lt;&gt;""),"",IF(MOD(COUNTIFS($B$3:B3,"&lt;&gt;",$I$3:I3,""),2)=1,"Carlos","Joaquín"))</f>
        <v/>
      </c>
      <c r="K3" s="11" t="n"/>
      <c r="L3" s="11" t="n"/>
      <c r="M3" s="11" t="n"/>
      <c r="N3" s="11" t="n"/>
      <c r="O3" s="11" t="n"/>
      <c r="P3" s="8">
        <f>IF(J3="","",IF(K3="Sale","Descartado",IF(L3="Sale","Descartado",IF(OR(M3="Q3",M3="Q4",M3="No aparece"),"Descartado",IF(N3="Sale","Descartado",IF(O3="Sigue","APROBADO","En proceso"))))))</f>
        <v/>
      </c>
      <c r="Q3" s="10" t="inlineStr">
        <is>
          <t>Department of Statistics, Rhodes University, Eastern Cape, Makanda, 6139, South Africa; Department of Mathematical Statistics and Actuarial Sciences, University of the Free State, Bloemfontein, 9302, South Africa</t>
        </is>
      </c>
      <c r="R3" s="9" t="inlineStr">
        <is>
          <t>Casas de cambio</t>
        </is>
      </c>
    </row>
    <row r="4" ht="60" customHeight="1">
      <c r="A4" s="8">
        <f>IF(B4="","",ROW()-2)</f>
        <v/>
      </c>
      <c r="B4" s="9" t="inlineStr">
        <is>
          <t>A Proposed Paradigm Using Data Mining to Minimize Online Money Laundering</t>
        </is>
      </c>
      <c r="C4" s="10" t="inlineStr">
        <is>
          <t>Ouf S.; Ashraf M.; Roushdy M.</t>
        </is>
      </c>
      <c r="D4" s="9" t="n">
        <v>2024</v>
      </c>
      <c r="E4" s="9" t="inlineStr">
        <is>
          <t>Informatica (Slovenia)</t>
        </is>
      </c>
      <c r="F4" s="9" t="inlineStr">
        <is>
          <t>10.31449/inf.v48i3.6103</t>
        </is>
      </c>
      <c r="G4" s="10" t="inlineStr">
        <is>
          <t>Since the global financial crisis (GFC), banks have been compromised by various risks. One of the significant risks is online money laundering. It is the third-largest business in the world after currency exchange and the automotive industry. As technology has advanced, the methods of online money laundering have become more evasive. Banks' traditional methods cannot deal with online money laundering. The absence of contemporary anti-money laundering techniques has led to the rise of this criminal activity. As a result, the existing systems need effective technology to accommodate the development of online money laundering. Data mining is the technology that applies mathematical, statistical, and machine-learning techniques to extract patterns like malicious behavior of money launderers and gain information about whether the online transaction belongs to money laundering. Many research papers apply different data mining techniques to predict online money laundering. By analyzing these research papers, we found that authors focused on applying one or two data mining techniques to predict online money laundering but ignored combining many techniques like classification, clustering, and association to improve the accuracy of prediction and overcome the limitations of each of them. Therefore, this paper proposes and implements a paradigm (APPD-OML) based on classification, clustering, and association techniques to improve the accuracy of predicting and detecting online money laundering. The result of testing the proposed paradigm illustrates that the prediction and detection of online money laundering based on applying data mining techniques like classification, clustering, and association achieve a strong accuracy of 94%, f-measure of 95%, and AUC 95% which means that the proposed paradigm outperforms each technique used separately in predicting and detecting online money laundering and outperformed the other research that used data mining in this field. © 2024 Slovene Society Informatika. All rights reserved.</t>
        </is>
      </c>
      <c r="H4" s="9" t="inlineStr">
        <is>
          <t>Scopus</t>
        </is>
      </c>
      <c r="I4" s="8">
        <f>IF(B4="","",IF(AND(F4&lt;&gt;"",SUMPRODUCT(--ISNUMBER(SEARCH(Preseleccionados!$A$2:$A$11,F4)))&gt;0),"YA ESTÁ",IF(AND(F4&lt;&gt;"",COUNTIF($F$3:F4,F4)&gt;1),"REPETIDO","")))</f>
        <v/>
      </c>
      <c r="J4" s="8">
        <f>IF(OR(B4="",I4&lt;&gt;""),"",IF(MOD(COUNTIFS($B$3:B4,"&lt;&gt;",$I$3:I4,""),2)=1,"Carlos","Joaquín"))</f>
        <v/>
      </c>
      <c r="K4" s="11" t="inlineStr">
        <is>
          <t>Sigue</t>
        </is>
      </c>
      <c r="L4" s="11" t="inlineStr">
        <is>
          <t>Sigue</t>
        </is>
      </c>
      <c r="M4" s="11" t="n"/>
      <c r="N4" s="11" t="inlineStr">
        <is>
          <t>Sale</t>
        </is>
      </c>
      <c r="O4" s="11" t="n"/>
      <c r="P4" s="8">
        <f>IF(J4="","",IF(K4="Sale","Descartado",IF(L4="Sale","Descartado",IF(OR(M4="Q3",M4="Q4",M4="No aparece"),"Descartado",IF(N4="Sale","Descartado",IF(O4="Sigue","APROBADO","En proceso"))))))</f>
        <v/>
      </c>
      <c r="Q4" s="10" t="inlineStr">
        <is>
          <t>Information Systems Department, Faculty of Commerce and Business Administration, Helwan University, Helwan, Egypt; Faculty of Computers &amp; Information Technology, Future University in Egypt New Cairo, Cairo, Egypt</t>
        </is>
      </c>
      <c r="R4" s="9" t="inlineStr">
        <is>
          <t>Casas de cambio</t>
        </is>
      </c>
    </row>
    <row r="5" hidden="1" ht="60" customHeight="1">
      <c r="A5" s="8">
        <f>IF(B5="","",ROW()-2)</f>
        <v/>
      </c>
      <c r="B5" s="9" t="inlineStr">
        <is>
          <t>Legal and regulatory challenges in addressing high-tech crimes in the banking sector: developing a cybersecurity risk assessment framework for Vietnam</t>
        </is>
      </c>
      <c r="C5" s="10" t="inlineStr">
        <is>
          <t>Bui L.V.</t>
        </is>
      </c>
      <c r="D5" s="9" t="n">
        <v>2026</v>
      </c>
      <c r="E5" s="9" t="inlineStr">
        <is>
          <t>Journal of Banking Regulation</t>
        </is>
      </c>
      <c r="F5" s="9" t="inlineStr">
        <is>
          <t>10.1057/s41261-025-00302-0</t>
        </is>
      </c>
      <c r="G5" s="10" t="inlineStr">
        <is>
          <t>High-technology crime in the banking sector has become increasingly transnational, data-intensive, and regulation-sensitive, posing challenges that extend beyond technical detection to governance, compliance, and supervisory accountability. While much of the scholarly literature emphasizes machine learning and predictive accuracy, the supervisory value of risk frameworks in emerging markets lies in their ability to remain auditable, law-anchored, and governance-ready. This paper addresses that gap by developing a comprehensive cybersecurity and financial-crime risk-assessment framework tailored to Vietnam’s banking sector. The framework explicitly maps binding regulatory instruments including cybersecurity law, anti-money laundering and counter-terrorist financing (AML/CFT) provisions, and data-governance requirements into operational control criteria with article- and section-level traceability. Risk is systematically organized across three layers: threats and exposures, control systems, and consequences, ensuring both legal coherence and operational applicability. The methodology emphasizes transparency and reproducibility, relying exclusively on public sources such as codified texts, national and cross-border statistics, sectoral incident reporting, and well-documented case studies. Validation is implemented through a three-stage protocol: (i) a Delphi panel to establish expert consensus on domain weights and cutoffs; (ii) inter-rater reliability testing using standardized scenarios to measure scoring consistency; and (iii) sensitivity and stress testing to probe the robustness of results under perturbations of legal salience and corridor exposure. Supplementary case-based scoring of public incidents provides applied demonstrations, reinforcing the framework’s capacity to generate governance-grade insights without reliance on proprietary transaction data. The findings yield a supervision-grade instrument that makes error-cost asymmetries explicit, particularly the higher regulatory cost of false negatives (FN) compared to false positives (FP) in AML/CFT contexts while operationalizing statutory obligations for data localization, third-country transfers, and suspicious transaction reporting. By embedding corridor-specific oversight, explainability artifacts for reviewer workflows, and proportionality mechanisms anchored in public corridor intelligence, the framework equips both banks and regulators with a deployable tool for prioritizing remediation, harmonizing oversight documentation, and preparing for in-country validation within regulatory sandboxes. More broadly, it demonstrates a replicable pathway for emerging markets to align supervisory technology with global standards while preserving transparency, auditability, and contextual sensitivity. © The Author(s) 2026.</t>
        </is>
      </c>
      <c r="H5" s="9" t="inlineStr">
        <is>
          <t>Scopus</t>
        </is>
      </c>
      <c r="I5" s="8">
        <f>IF(B5="","",IF(AND(F5&lt;&gt;"",SUMPRODUCT(--ISNUMBER(SEARCH(Preseleccionados!$A$2:$A$11,F5)))&gt;0),"YA ESTÁ",IF(AND(F5&lt;&gt;"",COUNTIF($F$3:F5,F5)&gt;1),"REPETIDO","")))</f>
        <v/>
      </c>
      <c r="J5" s="8">
        <f>IF(OR(B5="",I5&lt;&gt;""),"",IF(MOD(COUNTIFS($B$3:B5,"&lt;&gt;",$I$3:I5,""),2)=1,"Carlos","Joaquín"))</f>
        <v/>
      </c>
      <c r="K5" s="11" t="n"/>
      <c r="L5" s="11" t="n"/>
      <c r="M5" s="11" t="n"/>
      <c r="N5" s="11" t="n"/>
      <c r="O5" s="11" t="n"/>
      <c r="P5" s="8">
        <f>IF(J5="","",IF(K5="Sale","Descartado",IF(L5="Sale","Descartado",IF(OR(M5="Q3",M5="Q4",M5="No aparece"),"Descartado",IF(N5="Sale","Descartado",IF(O5="Sigue","APROBADO","En proceso"))))))</f>
        <v/>
      </c>
      <c r="Q5" s="10" t="inlineStr">
        <is>
          <t>Bristol Law School, University of the West of England, Bristol, United Kingdom; International School, Vietnam National University, Hanoi, Viet Nam</t>
        </is>
      </c>
      <c r="R5" s="9" t="inlineStr">
        <is>
          <t>Bancos</t>
        </is>
      </c>
    </row>
    <row r="6" ht="60" customHeight="1">
      <c r="A6" s="8">
        <f>IF(B6="","",ROW()-2)</f>
        <v/>
      </c>
      <c r="B6" s="9" t="inlineStr">
        <is>
          <t>The Imbalanced Classification of Fraudulent Bank Transactions Using Machine Learning</t>
        </is>
      </c>
      <c r="C6" s="10" t="inlineStr">
        <is>
          <t>Ruchay A.; Feldman E.; Cherbadzhi D.; Sokolov A.</t>
        </is>
      </c>
      <c r="D6" s="9" t="n">
        <v>2023</v>
      </c>
      <c r="E6" s="9" t="inlineStr">
        <is>
          <t>Mathematics</t>
        </is>
      </c>
      <c r="F6" s="9" t="inlineStr">
        <is>
          <t>10.3390/math11132862</t>
        </is>
      </c>
      <c r="G6" s="10" t="inlineStr">
        <is>
          <t>This article studies the development of a reliable AI model to detect fraudulent bank transactions, including money laundering, and illegal activities with goods and services. The proposed machine learning model uses the CreditCardFraud dataset and utilizes multiple algorithms with different parameters. The results are evaluated using Accuracy, Precision, Recall, F1 score, and IBA. We have increased the reliability of the imbalanced classification of fraudulent credit card transactions in comparison to the best known results by using the Tomek links resampling algorithm of the imbalanced CreditCardFraud dataset. The reliability of the results, using the proposed model based on the TPOT and RandomForest algorithms, has been confirmed by using 10-fold cross-validation. It is shown that on the dataset the accuracy of the proposed model detecting fraudulent bank transactions reaches 99.99%. © 2023 by the authors.</t>
        </is>
      </c>
      <c r="H6" s="9" t="inlineStr">
        <is>
          <t>Scopus</t>
        </is>
      </c>
      <c r="I6" s="8">
        <f>IF(B6="","",IF(AND(F6&lt;&gt;"",SUMPRODUCT(--ISNUMBER(SEARCH(Preseleccionados!$A$2:$A$11,F6)))&gt;0),"YA ESTÁ",IF(AND(F6&lt;&gt;"",COUNTIF($F$3:F6,F6)&gt;1),"REPETIDO","")))</f>
        <v/>
      </c>
      <c r="J6" s="8">
        <f>IF(OR(B6="",I6&lt;&gt;""),"",IF(MOD(COUNTIFS($B$3:B6,"&lt;&gt;",$I$3:I6,""),2)=1,"Carlos","Joaquín"))</f>
        <v/>
      </c>
      <c r="K6" s="11" t="inlineStr">
        <is>
          <t>Sigue</t>
        </is>
      </c>
      <c r="L6" s="11" t="inlineStr">
        <is>
          <t>Sigue</t>
        </is>
      </c>
      <c r="M6" s="11" t="n"/>
      <c r="N6" s="11" t="inlineStr">
        <is>
          <t>Sale</t>
        </is>
      </c>
      <c r="O6" s="11" t="n"/>
      <c r="P6" s="8">
        <f>IF(J6="","",IF(K6="Sale","Descartado",IF(L6="Sale","Descartado",IF(OR(M6="Q3",M6="Q4",M6="No aparece"),"Descartado",IF(N6="Sale","Descartado",IF(O6="Sigue","APROBADO","En proceso"))))))</f>
        <v/>
      </c>
      <c r="Q6" s="10" t="inlineStr">
        <is>
          <t>Department of Information Security, South Ural State University (National Research University), Chelyabinsk, 454080, Russian Federation; Department of Mathematics, Chelyabinsk State University, Chelyabinsk, 454001, Russian Federation</t>
        </is>
      </c>
      <c r="R6" s="9" t="inlineStr">
        <is>
          <t>Bancos</t>
        </is>
      </c>
    </row>
    <row r="7" hidden="1" ht="60" customHeight="1">
      <c r="A7" s="8">
        <f>IF(B7="","",ROW()-2)</f>
        <v/>
      </c>
      <c r="B7" s="9" t="inlineStr">
        <is>
          <t>Explainable deep learning model for predicting money laundering transactions</t>
        </is>
      </c>
      <c r="C7" s="10" t="inlineStr">
        <is>
          <t>Kute D.V.; Pradhan B.; Shukla N.; Alamri A.</t>
        </is>
      </c>
      <c r="D7" s="9" t="n">
        <v>2024</v>
      </c>
      <c r="E7" s="9" t="inlineStr">
        <is>
          <t>International Journal on Smart Sensing and Intelligent Systems</t>
        </is>
      </c>
      <c r="F7" s="9" t="inlineStr">
        <is>
          <t>10.2478/ijssis-2024-0027</t>
        </is>
      </c>
      <c r="G7" s="10" t="inlineStr">
        <is>
          <t>Money laundering has been a global issue for decades. The ever-changing technology landscape, digital channels, and regulations make it increasingly difficult. Financial institutions use rule-based systems to detect suspicious money laundering transactions. However, it suffers from large false positives (FPs) that lead to operational efforts or misses on true positives (TPs) that increase the compliance risk. This paper presents a study of convolutional neural network (CNN) to predict money laundering and employs SHapley Additive exPlanations (SHAP) explainable artificial intelligence (AI) method to explain the CNN predictions. The results highlight the role of CNN in detecting suspicious transactions with high accuracy and SHAP’s role in bringing out the rationale of deep learning predictions. © 2024 Kute et al.</t>
        </is>
      </c>
      <c r="H7" s="9" t="inlineStr">
        <is>
          <t>Scopus</t>
        </is>
      </c>
      <c r="I7" s="8">
        <f>IF(B7="","",IF(AND(F7&lt;&gt;"",SUMPRODUCT(--ISNUMBER(SEARCH(Preseleccionados!$A$2:$A$11,F7)))&gt;0),"YA ESTÁ",IF(AND(F7&lt;&gt;"",COUNTIF($F$3:F7,F7)&gt;1),"REPETIDO","")))</f>
        <v/>
      </c>
      <c r="J7" s="8">
        <f>IF(OR(B7="",I7&lt;&gt;""),"",IF(MOD(COUNTIFS($B$3:B7,"&lt;&gt;",$I$3:I7,""),2)=1,"Carlos","Joaquín"))</f>
        <v/>
      </c>
      <c r="K7" s="11" t="n"/>
      <c r="L7" s="11" t="n"/>
      <c r="M7" s="11" t="n"/>
      <c r="N7" s="11" t="n"/>
      <c r="O7" s="11" t="n"/>
      <c r="P7" s="8">
        <f>IF(J7="","",IF(K7="Sale","Descartado",IF(L7="Sale","Descartado",IF(OR(M7="Q3",M7="Q4",M7="No aparece"),"Descartado",IF(N7="Sale","Descartado",IF(O7="Sigue","APROBADO","En proceso"))))))</f>
        <v/>
      </c>
      <c r="Q7" s="10" t="inlineStr">
        <is>
          <t>Centre for Advanced Modelling and Geospatial Information Systems (CAMGIS), Faculty of Engineering and Information Technology, University of Technology Sydney, Sydney, 2007, NSW, Australia; Department of Business Strategy and Innovation, Griffith Business School, Griffith University, Brisbane, 4111, QLD, Australia; Department of Geology and Geophysics, College of Science, King Saud University, Riyadh, 11451, Saudi Arabia</t>
        </is>
      </c>
      <c r="R7" s="9" t="inlineStr">
        <is>
          <t>Bancos</t>
        </is>
      </c>
    </row>
    <row r="8" ht="60" customHeight="1">
      <c r="A8" s="8">
        <f>IF(B8="","",ROW()-2)</f>
        <v/>
      </c>
      <c r="B8" s="9" t="inlineStr">
        <is>
          <t>Anti-money laundering powered by graph machine learning: 'Show me your friends and I will tell you who you are'</t>
        </is>
      </c>
      <c r="C8" s="10" t="inlineStr">
        <is>
          <t>Astrova I.</t>
        </is>
      </c>
      <c r="D8" s="9" t="n">
        <v>2023</v>
      </c>
      <c r="E8" s="9" t="inlineStr">
        <is>
          <t>Intelligent Decision Technologies</t>
        </is>
      </c>
      <c r="F8" s="9" t="inlineStr">
        <is>
          <t>10.3233/IDT-220193</t>
        </is>
      </c>
      <c r="G8" s="10" t="inlineStr">
        <is>
          <t>Today financial institutions have been investing billions of US dollars to detect money laundering. When financial institutions are found to have their customers conduct money laundering through them, they are subjected to large penalties. Moreover, their reputation suffers greatly through public exposure. In response, financial institutions have been exploring opportunities to use graph machine learning algorithms. This paper describes one of those algorithms called Anti-TrustRank and demonstrates how it can be used to identify money launderers. In contrast to many other algorithms, Anti-TrustRank calls for selecting a very small set of customers to be confirmed by human experts (e.g., compliance officers or analysts) as money launderers. Once this set has been identified, Anti-TrustRank seeks out customers linked (either directly or indirectly) to those money launderers.  © 2023 - IOS Press. All rights reserved.</t>
        </is>
      </c>
      <c r="H8" s="9" t="inlineStr">
        <is>
          <t>Scopus</t>
        </is>
      </c>
      <c r="I8" s="8">
        <f>IF(B8="","",IF(AND(F8&lt;&gt;"",SUMPRODUCT(--ISNUMBER(SEARCH(Preseleccionados!$A$2:$A$11,F8)))&gt;0),"YA ESTÁ",IF(AND(F8&lt;&gt;"",COUNTIF($F$3:F8,F8)&gt;1),"REPETIDO","")))</f>
        <v/>
      </c>
      <c r="J8" s="8">
        <f>IF(OR(B8="",I8&lt;&gt;""),"",IF(MOD(COUNTIFS($B$3:B8,"&lt;&gt;",$I$3:I8,""),2)=1,"Carlos","Joaquín"))</f>
        <v/>
      </c>
      <c r="K8" s="11" t="inlineStr">
        <is>
          <t>Sigue</t>
        </is>
      </c>
      <c r="L8" s="11" t="inlineStr">
        <is>
          <t>Sigue</t>
        </is>
      </c>
      <c r="M8" s="11" t="n"/>
      <c r="N8" s="11" t="n"/>
      <c r="O8" s="11" t="n"/>
      <c r="P8" s="8">
        <f>IF(J8="","",IF(K8="Sale","Descartado",IF(L8="Sale","Descartado",IF(OR(M8="Q3",M8="Q4",M8="No aparece"),"Descartado",IF(N8="Sale","Descartado",IF(O8="Sigue","APROBADO","En proceso"))))))</f>
        <v/>
      </c>
      <c r="Q8" s="10" t="inlineStr">
        <is>
          <t>Applied Artificial Intelligence Group, Department of Software Science, Tallinn University of Technology, Akadeemia tee 21, Tallinn, 12618, Estonia</t>
        </is>
      </c>
      <c r="R8" s="9" t="inlineStr">
        <is>
          <t>Bancos</t>
        </is>
      </c>
    </row>
    <row r="9" hidden="1" ht="60" customHeight="1">
      <c r="A9" s="8">
        <f>IF(B9="","",ROW()-2)</f>
        <v/>
      </c>
      <c r="B9" s="9" t="inlineStr">
        <is>
          <t>AI culture ‘profiling’ and anti-money laundering: Efficacy vs ethics</t>
        </is>
      </c>
      <c r="C9" s="10" t="inlineStr">
        <is>
          <t>Goodell J.W.; Muckley C.B.; Neelakantan P.; Ryan D.; Yu P.-S.</t>
        </is>
      </c>
      <c r="D9" s="9" t="n">
        <v>2025</v>
      </c>
      <c r="E9" s="9" t="inlineStr">
        <is>
          <t>International Review of Financial Analysis</t>
        </is>
      </c>
      <c r="F9" s="9" t="inlineStr">
        <is>
          <t>10.1016/j.irfa.2025.103980</t>
        </is>
      </c>
      <c r="G9" s="10" t="inlineStr">
        <is>
          <t>Using extensive transaction and money laundering detection data, at a globally important financial institution, we investigate the efficacy of including facets of national culture in formulating anti-money laundering predictions. For corporate and individual accounts, Hofstede individualism scores of the country in which a customer is resident, or from which a wire is sent/received, are of first-order importance in the detection of money laundering. When combined with account and transaction data; as well as even a proprietary institutional algorithm, individualism scores continue to determine the models’ predictive performances. The efficacy of cultural profiling in money laundering detection underscores the need for stringent and enforced data protection to prohibit its use. This will safeguard the civil right of individuals to privacy and promote financial inclusion. © 2025 Elsevier Inc.</t>
        </is>
      </c>
      <c r="H9" s="9" t="inlineStr">
        <is>
          <t>Scopus</t>
        </is>
      </c>
      <c r="I9" s="8">
        <f>IF(B9="","",IF(AND(F9&lt;&gt;"",SUMPRODUCT(--ISNUMBER(SEARCH(Preseleccionados!$A$2:$A$11,F9)))&gt;0),"YA ESTÁ",IF(AND(F9&lt;&gt;"",COUNTIF($F$3:F9,F9)&gt;1),"REPETIDO","")))</f>
        <v/>
      </c>
      <c r="J9" s="8">
        <f>IF(OR(B9="",I9&lt;&gt;""),"",IF(MOD(COUNTIFS($B$3:B9,"&lt;&gt;",$I$3:I9,""),2)=1,"Carlos","Joaquín"))</f>
        <v/>
      </c>
      <c r="K9" s="11" t="n"/>
      <c r="L9" s="11" t="n"/>
      <c r="M9" s="11" t="n"/>
      <c r="N9" s="11" t="n"/>
      <c r="O9" s="11" t="n"/>
      <c r="P9" s="8">
        <f>IF(J9="","",IF(K9="Sale","Descartado",IF(L9="Sale","Descartado",IF(OR(M9="Q3",M9="Q4",M9="No aparece"),"Descartado",IF(N9="Sale","Descartado",IF(O9="Sigue","APROBADO","En proceso"))))))</f>
        <v/>
      </c>
      <c r="Q9" s="10" t="inlineStr">
        <is>
          <t>The University of Akron, Akron, OH, United States; Smurfit Graduate School of Business and Geary Institute, University College Dublin, Ireland; Indian Institute of Technology Kanpur, India; NCLA, Physics, School of Natural Sciences, University of Galway, Ireland</t>
        </is>
      </c>
      <c r="R9" s="9" t="inlineStr">
        <is>
          <t>Bancos</t>
        </is>
      </c>
    </row>
    <row r="10" ht="60" customHeight="1">
      <c r="A10" s="8">
        <f>IF(B10="","",ROW()-2)</f>
        <v/>
      </c>
      <c r="B10" s="9" t="inlineStr">
        <is>
          <t>Predicting money laundering sanctions using machine learning algorithms and artificial neural networks</t>
        </is>
      </c>
      <c r="C10" s="10" t="inlineStr">
        <is>
          <t>Lokanan M.E.</t>
        </is>
      </c>
      <c r="D10" s="9" t="n">
        <v>2024</v>
      </c>
      <c r="E10" s="9" t="inlineStr">
        <is>
          <t>Applied Economics Letters</t>
        </is>
      </c>
      <c r="F10" s="9" t="inlineStr">
        <is>
          <t>10.1080/13504851.2023.2176435</t>
        </is>
      </c>
      <c r="G10" s="10" t="inlineStr">
        <is>
          <t>This article used machine learning (ML) and artificial neural network (ANN) algorithms to predict the likelihood of a country being sanctioned by the Basel Institute on Governance for not adhering to anti-money laundering (AML) standards. Data for this paper came from the Basel AML Index and the World Bank. The results showed that the logistic regression and support vector machine (SVM) classifiers had the highest performance and balanced accuracy scores in sanction prediction. Additionally, these two algorithms also had the highest precision, specificity, and F1 scores, indicating that they were robust in their predictions of money laundering sanctions. In contrast to the ML classifiers, the ANN model had the highest sensitivity and receiver operating characteristic scores for money laundering sanctions. The strongest predictors of sanctions are financial transparency, political and legal risks, unemployment rate, and money laundering and terrorist financing risks. These findings reinforce the potential practical applications of ML and ANN models in predicting sanctions. © 2023 Informa UK Limited, trading as Taylor &amp; Francis Group.</t>
        </is>
      </c>
      <c r="H10" s="9" t="inlineStr">
        <is>
          <t>Scopus</t>
        </is>
      </c>
      <c r="I10" s="8">
        <f>IF(B10="","",IF(AND(F10&lt;&gt;"",SUMPRODUCT(--ISNUMBER(SEARCH(Preseleccionados!$A$2:$A$11,F10)))&gt;0),"YA ESTÁ",IF(AND(F10&lt;&gt;"",COUNTIF($F$3:F10,F10)&gt;1),"REPETIDO","")))</f>
        <v/>
      </c>
      <c r="J10" s="8">
        <f>IF(OR(B10="",I10&lt;&gt;""),"",IF(MOD(COUNTIFS($B$3:B10,"&lt;&gt;",$I$3:I10,""),2)=1,"Carlos","Joaquín"))</f>
        <v/>
      </c>
      <c r="K10" s="11" t="inlineStr">
        <is>
          <t>Sigue</t>
        </is>
      </c>
      <c r="L10" s="11" t="inlineStr">
        <is>
          <t>Sale</t>
        </is>
      </c>
      <c r="M10" s="11" t="n"/>
      <c r="N10" s="11" t="n"/>
      <c r="O10" s="11" t="n"/>
      <c r="P10" s="8">
        <f>IF(J10="","",IF(K10="Sale","Descartado",IF(L10="Sale","Descartado",IF(OR(M10="Q3",M10="Q4",M10="No aparece"),"Descartado",IF(N10="Sale","Descartado",IF(O10="Sigue","APROBADO","En proceso"))))))</f>
        <v/>
      </c>
      <c r="Q10" s="10" t="inlineStr">
        <is>
          <t>Faculty of Management, Royal Roads University, Victoria, BC, Canada</t>
        </is>
      </c>
      <c r="R10" s="9" t="inlineStr">
        <is>
          <t>Bancos</t>
        </is>
      </c>
    </row>
    <row r="11" hidden="1" ht="60" customHeight="1">
      <c r="A11" s="8">
        <f>IF(B11="","",ROW()-2)</f>
        <v/>
      </c>
      <c r="B11" s="9" t="inlineStr">
        <is>
          <t>Optimization of Deep Learning-Based Model for Identification of Credit Card Frauds</t>
        </is>
      </c>
      <c r="C11" s="10" t="inlineStr">
        <is>
          <t>Palivela H.; Rishiwal V.; Bhushan S.; Alotaibi A.; Agarwal U.; Kumar P.; Yadav M.</t>
        </is>
      </c>
      <c r="D11" s="9" t="n">
        <v>2024</v>
      </c>
      <c r="E11" s="9" t="inlineStr">
        <is>
          <t>IEEE Access</t>
        </is>
      </c>
      <c r="F11" s="9" t="inlineStr">
        <is>
          <t>10.1109/ACCESS.2024.3440637</t>
        </is>
      </c>
      <c r="G11" s="10" t="inlineStr">
        <is>
          <t>With the growth of the internet, the landscape of commercial transactions has undergone significant changes. The digital revolution has permeated various aspects of our daily lives, notably transforming the financial system through digital money transfers across global distances. Digital transactions, including online purchases, money transfers, banking, and investing, have become routine. This shift has provided many advantages and opened the door for illegal activities such as money laundering. This research aims to identify transaction patterns to help algorithms recognize and flag scammers. We propose a deep learning-based sequential model framework to optimize fraud and non-fraud transaction classification. Proposed approach incorporates methods of ensemble learning including Gradient Boost, Random Forest, Logistic Regression, and Voting Classifiers, along with hyperparameter tuning to prevent overfitting. To solve the dataset inconsistency common in credit card dataset, we used techniques like under-sampling and the Synthetic Minority Over-sampling Technique (SMOTE) with specific machine learning (ML) algorithms. Our methodology involves data pre-processing, feature engineering, model selection, and evaluation. We leveraged the computational power of Google Colab for efficient model training and testing. Temporal features were extracted to capture transaction patterns over time, such as frequency and timing, along with features based on transaction amounts, merchant types, and geographic locations to detect subtle anomalies indicative of fraud. These features were input into a supervised learning algorithm, resulting in a model significantly outperforming baseline methods. The model was tested using a sizable dataset of anonymized transactions made with credit cards, and its effectiveness was measured using metrics such as accuracy, precision, recall, and F1-score. While it cannot entirely prevent fraudulent transactions, it effectively manages false positives through careful review, achieving an accuracy of 99.59%, surpassing other innovative models.  © 2013 IEEE.</t>
        </is>
      </c>
      <c r="H11" s="9" t="inlineStr">
        <is>
          <t>Scopus</t>
        </is>
      </c>
      <c r="I11" s="8">
        <f>IF(B11="","",IF(AND(F11&lt;&gt;"",SUMPRODUCT(--ISNUMBER(SEARCH(Preseleccionados!$A$2:$A$11,F11)))&gt;0),"YA ESTÁ",IF(AND(F11&lt;&gt;"",COUNTIF($F$3:F11,F11)&gt;1),"REPETIDO","")))</f>
        <v/>
      </c>
      <c r="J11" s="8">
        <f>IF(OR(B11="",I11&lt;&gt;""),"",IF(MOD(COUNTIFS($B$3:B11,"&lt;&gt;",$I$3:I11,""),2)=1,"Carlos","Joaquín"))</f>
        <v/>
      </c>
      <c r="K11" s="11" t="n"/>
      <c r="L11" s="11" t="n"/>
      <c r="M11" s="11" t="n"/>
      <c r="N11" s="11" t="n"/>
      <c r="O11" s="11" t="n"/>
      <c r="P11" s="8">
        <f>IF(J11="","",IF(K11="Sale","Descartado",IF(L11="Sale","Descartado",IF(OR(M11="Q3",M11="Q4",M11="No aparece"),"Descartado",IF(N11="Sale","Descartado",IF(O11="Sigue","APROBADO","En proceso"))))))</f>
        <v/>
      </c>
      <c r="Q11" s="10" t="inlineStr">
        <is>
          <t>Damac Properties, LLC, Dubai, United Arab Emirates; M.J.P. Rohilkhand University, Department of CSIT, Bareilly, 243006, India; Universiti Teknologi PETRONAS, Department of CIS, Perak, Seri Iskandar, 32160, Malaysia; Taif University, College of Computers and Information Technology, Department of Computer Science, Taif, 26571, Saudi Arabia; RBMI Group of Institutions, Department of CSIT, Bareilly, 224001, India; Swami Rama Himalayan University, Department of Computer Science and Engineering, Dehradun, 248016, India; Bareilly College, Department of Computer Science, Bareilly, 243001, India</t>
        </is>
      </c>
      <c r="R11" s="9" t="inlineStr">
        <is>
          <t>Bancos</t>
        </is>
      </c>
    </row>
    <row r="12" ht="60" customHeight="1">
      <c r="A12" s="8">
        <f>IF(B12="","",ROW()-2)</f>
        <v/>
      </c>
      <c r="B12" s="9" t="inlineStr">
        <is>
          <t>The importance of governance in artificial intelligence and machine learning technology</t>
        </is>
      </c>
      <c r="C12" s="10" t="inlineStr">
        <is>
          <t>Chieng S.; Dasgupta S.</t>
        </is>
      </c>
      <c r="D12" s="9" t="n">
        <v>2025</v>
      </c>
      <c r="E12" s="9" t="inlineStr">
        <is>
          <t>Journal of Financial Compliance</t>
        </is>
      </c>
      <c r="F12" s="9" t="inlineStr">
        <is>
          <t>10.69554/PKAQ4460</t>
        </is>
      </c>
      <c r="G12" s="10" t="inlineStr">
        <is>
          <t>Financial institutions increasingly deploy artificial intelligence (AI) and machine learning (ML) solutions to enhance compliance processes. While this trend promises significant efficiency gains, it also introduces complex governance challenges that compliance executives must effectively address. Drawing on regulatory developments, technical considerations and industry best practices, this paper presents the process to develop a comprehensive governance framework for mitigating risks associated with AI/ ML implementation in compliance functions. This paper concludes with a forward-looking perspective on evolving governance requirements as AI/ML technologies continue to transform financial compliance. This article is also included in The Business &amp; Management Collection which can be accessed at https://hstalks.com/business/. © Henry Stewart Publications.</t>
        </is>
      </c>
      <c r="H12" s="9" t="inlineStr">
        <is>
          <t>Scopus</t>
        </is>
      </c>
      <c r="I12" s="8">
        <f>IF(B12="","",IF(AND(F12&lt;&gt;"",SUMPRODUCT(--ISNUMBER(SEARCH(Preseleccionados!$A$2:$A$11,F12)))&gt;0),"YA ESTÁ",IF(AND(F12&lt;&gt;"",COUNTIF($F$3:F12,F12)&gt;1),"REPETIDO","")))</f>
        <v/>
      </c>
      <c r="J12" s="8">
        <f>IF(OR(B12="",I12&lt;&gt;""),"",IF(MOD(COUNTIFS($B$3:B12,"&lt;&gt;",$I$3:I12,""),2)=1,"Carlos","Joaquín"))</f>
        <v/>
      </c>
      <c r="K12" s="11" t="inlineStr">
        <is>
          <t>Sale</t>
        </is>
      </c>
      <c r="L12" s="11" t="n"/>
      <c r="M12" s="11" t="n"/>
      <c r="N12" s="11" t="n"/>
      <c r="O12" s="11" t="n"/>
      <c r="P12" s="8">
        <f>IF(J12="","",IF(K12="Sale","Descartado",IF(L12="Sale","Descartado",IF(OR(M12="Q3",M12="Q4",M12="No aparece"),"Descartado",IF(N12="Sale","Descartado",IF(O12="Sigue","APROBADO","En proceso"))))))</f>
        <v/>
      </c>
      <c r="Q12" s="10" t="inlineStr">
        <is>
          <t>Interactive Brokers, One Pickwick Plaza, Greenwich, 06830, CT, United States</t>
        </is>
      </c>
      <c r="R12" s="9" t="inlineStr">
        <is>
          <t>Bancos</t>
        </is>
      </c>
    </row>
    <row r="13" hidden="1" ht="60" customHeight="1">
      <c r="A13" s="8">
        <f>IF(B13="","",ROW()-2)</f>
        <v/>
      </c>
      <c r="B13" s="9" t="inlineStr">
        <is>
          <t>Comparative analysis of machine learning algorithms for money laundering detection</t>
        </is>
      </c>
      <c r="C13" s="10" t="inlineStr">
        <is>
          <t>Ajagbe S.A.; Majola S.; Mudali P.</t>
        </is>
      </c>
      <c r="D13" s="9" t="n">
        <v>2025</v>
      </c>
      <c r="E13" s="9" t="inlineStr">
        <is>
          <t>Discover Artificial Intelligence</t>
        </is>
      </c>
      <c r="F13" s="9" t="inlineStr">
        <is>
          <t>10.1007/s44163-025-00397-4</t>
        </is>
      </c>
      <c r="G13" s="10" t="inlineStr">
        <is>
          <t>This study explored the effectiveness of anomaly detection techniques in identifying fraudulent financial transactions, with a particular focus on money laundering activities. The research addressed the growing challenges of financial fraud, which significantly impacts economies and financial institutions by leading to substantial monetary losses and undermining trust in financial systems. This research examined contemporary machine learning (ML) algorithms, including XGBoost, K-Nearest Neighbors, Random Forest, Isolation Forest, and Support Vector Machines, to analyze transaction data for anomalies indicative of fraudulent behavior. This study’s approach involves data collecting, system design, implementation, data analysis, and experimental setup. This research aimed to identify robust algorithms for detecting financial fraud. In the results notably, XGBoost shows an output of 1.0, 1.0, 1.0, 1.0, and 0.94 for accuracy, precision, recall, F1 score and AUC respectively to outperform other ML algorithms experimented in money laundering detection. The findings underscore the potential of ML algorithms capability to combat money laundering and indeed enhance anti-money efforts and offer financial institutions a powerful, resource-efficient method for fraud detection in large-scale transaction environments. © The Author(s) 2025.</t>
        </is>
      </c>
      <c r="H13" s="9" t="inlineStr">
        <is>
          <t>Scopus</t>
        </is>
      </c>
      <c r="I13" s="8">
        <f>IF(B13="","",IF(AND(F13&lt;&gt;"",SUMPRODUCT(--ISNUMBER(SEARCH(Preseleccionados!$A$2:$A$11,F13)))&gt;0),"YA ESTÁ",IF(AND(F13&lt;&gt;"",COUNTIF($F$3:F13,F13)&gt;1),"REPETIDO","")))</f>
        <v/>
      </c>
      <c r="J13" s="8">
        <f>IF(OR(B13="",I13&lt;&gt;""),"",IF(MOD(COUNTIFS($B$3:B13,"&lt;&gt;",$I$3:I13,""),2)=1,"Carlos","Joaquín"))</f>
        <v/>
      </c>
      <c r="K13" s="11" t="n"/>
      <c r="L13" s="11" t="n"/>
      <c r="M13" s="11" t="n"/>
      <c r="N13" s="11" t="n"/>
      <c r="O13" s="11" t="n"/>
      <c r="P13" s="8">
        <f>IF(J13="","",IF(K13="Sale","Descartado",IF(L13="Sale","Descartado",IF(OR(M13="Q3",M13="Q4",M13="No aparece"),"Descartado",IF(N13="Sale","Descartado",IF(O13="Sigue","APROBADO","En proceso"))))))</f>
        <v/>
      </c>
      <c r="Q13" s="10" t="inlineStr">
        <is>
          <t>Department of Computer Science, University of Zululand, KZN, Kwadlangezwa, 3886, South Africa; Department of Computer Engineering, Abiola Ajimobi Technical University, Ibadan, 200255, Nigeria</t>
        </is>
      </c>
      <c r="R13" s="9" t="inlineStr">
        <is>
          <t>Bancos</t>
        </is>
      </c>
    </row>
    <row r="14" hidden="1" ht="60" customHeight="1">
      <c r="A14" s="8">
        <f>IF(B14="","",ROW()-2)</f>
        <v/>
      </c>
      <c r="B14" s="9" t="inlineStr">
        <is>
          <t>Scalable Community-Enriched Graph Representation Learning for Group-Level Anomaly Detection in Financial Transactions</t>
        </is>
      </c>
      <c r="C14" s="10" t="inlineStr">
        <is>
          <t>Nourollah Z.; Rezvani M.; Zahedi M.</t>
        </is>
      </c>
      <c r="D14" s="9" t="n">
        <v>2027</v>
      </c>
      <c r="E14" s="9" t="inlineStr">
        <is>
          <t>International Journal of Engineering, Transactions A: Basics</t>
        </is>
      </c>
      <c r="F14" s="9" t="inlineStr">
        <is>
          <t>10.5829/ije.2027.40.03c.10</t>
        </is>
      </c>
      <c r="G14" s="10" t="inlineStr">
        <is>
          <t>Identifying suspicious subnetworks in financial transaction systems is crucial for preventing fraud and mitigating institutional risks. However, detecting organized illicit activities remains challenging because of evolving network structures and sophisticated concealment strategies that intentionally obscure connectivity to bypass topology-driven detection. This study presents FinCEG-Net, a scalable framework for group-level anomaly detection. It comprises three stages: (1) Transaction Graph Construction, modeling monetary flows as a directed attributed graph; (2) Community-Enriched Graph Representation Learning, where graph representation learning is employed to estimate semantic edge affinities that guide community structuring. This process enables the discovery of latent illicit structures, which are groups that are topologically sparse yet behaviorally cohesive, thereby mitigating structural bias in density-driven clustering. The representation is further enriched through an Institution-Enriched Group Graph (IEGG), which integrates interbank relationships to enhance cross-institution information propagation. (3) Suspicious Subnetwork Detection, where a supervised classifier fuses multimodal representations to identify high-risk transaction groups in batch and near-real-time settings. Experiments on real-world datasets from an Iranian bank and Romania's Libra Internet Bank demonstrated that FinCEG-Net consistently outperformed the baseline models, achieving substantial improvements in PRAUC, precision, recall, and F1-score. These results highlight the effectiveness of the proposed framework in identifying suspicious transaction groups in the real world. © 2027 The author(s). This is an open access article distributed under the terms of the Creative Commons Attribution (CC BY 4.0), which permits unrestricted use, distribution, and reproduction in any medium, as long as the original authors and source are cited. No permission is required from the authors or the publishers.</t>
        </is>
      </c>
      <c r="H14" s="9" t="inlineStr">
        <is>
          <t>Scopus</t>
        </is>
      </c>
      <c r="I14" s="8">
        <f>IF(B14="","",IF(AND(F14&lt;&gt;"",SUMPRODUCT(--ISNUMBER(SEARCH(Preseleccionados!$A$2:$A$11,F14)))&gt;0),"YA ESTÁ",IF(AND(F14&lt;&gt;"",COUNTIF($F$3:F14,F14)&gt;1),"REPETIDO","")))</f>
        <v/>
      </c>
      <c r="J14" s="8">
        <f>IF(OR(B14="",I14&lt;&gt;""),"",IF(MOD(COUNTIFS($B$3:B14,"&lt;&gt;",$I$3:I14,""),2)=1,"Carlos","Joaquín"))</f>
        <v/>
      </c>
      <c r="K14" s="11" t="n"/>
      <c r="L14" s="11" t="n"/>
      <c r="M14" s="11" t="n"/>
      <c r="N14" s="11" t="n"/>
      <c r="O14" s="11" t="n"/>
      <c r="P14" s="8">
        <f>IF(J14="","",IF(K14="Sale","Descartado",IF(L14="Sale","Descartado",IF(OR(M14="Q3",M14="Q4",M14="No aparece"),"Descartado",IF(N14="Sale","Descartado",IF(O14="Sigue","APROBADO","En proceso"))))))</f>
        <v/>
      </c>
      <c r="Q14" s="10" t="inlineStr">
        <is>
          <t>Faculty of Computer Engineering, Shahrood University of Technology, Shahrood, Iran</t>
        </is>
      </c>
      <c r="R14" s="9" t="inlineStr">
        <is>
          <t>Bancos</t>
        </is>
      </c>
    </row>
    <row r="15" ht="60" customHeight="1">
      <c r="A15" s="8">
        <f>IF(B15="","",ROW()-2)</f>
        <v/>
      </c>
      <c r="B15" s="9" t="inlineStr">
        <is>
          <t>Hybrid deep learning for anti-money laundering: Unsupervised detection of emerging schemes via feature fusion and explainable artificial intelligence</t>
        </is>
      </c>
      <c r="C15" s="10" t="inlineStr">
        <is>
          <t>Kungu C.O.; Senagi K.; Omondi E.</t>
        </is>
      </c>
      <c r="D15" s="9" t="n">
        <v>2026</v>
      </c>
      <c r="E15" s="9" t="inlineStr">
        <is>
          <t>Machine Learning with Applications</t>
        </is>
      </c>
      <c r="F15" s="9" t="inlineStr">
        <is>
          <t>10.1016/j.mlwa.2026.100856</t>
        </is>
      </c>
      <c r="G15" s="10" t="inlineStr">
        <is>
          <t>Traditional rule-based anti-money laundering (AML) transaction monitoring systems suffer from high false-positive rates and rigidity in detecting complex emerging risk. This limitation has prompted changes to the Financial Action Task Force (FATF) recommendation 16, mandating the use of advanced systems for detecting money laundering schemes in cross-border payments. This study developed a hybrid framework integrating VAE-learned behavioural latent factors, GNN-captured relational network signals, and rule-based heuristics for enhanced anomaly detection. The model was evaluated on 54,258 real-world cross-border transaction records from an East African commercial bank. The One-Class SVM, optimised via a rigorous grid search proved superior compared to Isolation Forest and Local Outlier Factor benchmark, achieving a precision of 99.63% in the top 5% of prioritised alerts. Independent validation by a Kenyan financial institution confirms a batch processing speed of 1000 transactions per second on standard computer hardware (Intel Core i7, 16 GB RAM) and efficient high-priority alert triage, key requirements for deployment in financial institutions. Shapley additive explanations analysis further provided the interpretability of the feature contribution to the model performance. These results demonstrated that integration of rule-based features with deep-learning embeddings improves compliance work efficiency and proven pathway for resource-constrained financial institutions to comply with FATF regulatory demands upcoming in 2030. © 2026 The Authors.</t>
        </is>
      </c>
      <c r="H15" s="9" t="inlineStr">
        <is>
          <t>Scopus</t>
        </is>
      </c>
      <c r="I15" s="8">
        <f>IF(B15="","",IF(AND(F15&lt;&gt;"",SUMPRODUCT(--ISNUMBER(SEARCH(Preseleccionados!$A$2:$A$11,F15)))&gt;0),"YA ESTÁ",IF(AND(F15&lt;&gt;"",COUNTIF($F$3:F15,F15)&gt;1),"REPETIDO","")))</f>
        <v/>
      </c>
      <c r="J15" s="8">
        <f>IF(OR(B15="",I15&lt;&gt;""),"",IF(MOD(COUNTIFS($B$3:B15,"&lt;&gt;",$I$3:I15,""),2)=1,"Carlos","Joaquín"))</f>
        <v/>
      </c>
      <c r="K15" s="11" t="inlineStr">
        <is>
          <t>Sale</t>
        </is>
      </c>
      <c r="L15" s="11" t="n"/>
      <c r="M15" s="11" t="n"/>
      <c r="N15" s="11" t="n"/>
      <c r="O15" s="11" t="n"/>
      <c r="P15" s="8">
        <f>IF(J15="","",IF(K15="Sale","Descartado",IF(L15="Sale","Descartado",IF(OR(M15="Q3",M15="Q4",M15="No aparece"),"Descartado",IF(N15="Sale","Descartado",IF(O15="Sigue","APROBADO","En proceso"))))))</f>
        <v/>
      </c>
      <c r="Q15" s="10" t="inlineStr">
        <is>
          <t>Institute of Mathematical Sciences, Strathmore University, P.O. Box 59857-00200, Nairobi, Kenya; @ilabAfrica, Strathmore University, P.O. Box 59857-00200, Nairobi, Kenya; International Centre of Insect Physiology and Ecology, Duduville Campus, off Thika Road, Kasarani, P.O. Box 30772-00100, Nairobi, Kenya; African Population and Health Research Center, P.O. Box 10787-00100, Nairobi, Kenya</t>
        </is>
      </c>
      <c r="R15" s="9" t="inlineStr">
        <is>
          <t>Bancos</t>
        </is>
      </c>
    </row>
    <row r="16" hidden="1" ht="60" customHeight="1">
      <c r="A16" s="8">
        <f>IF(B16="","",ROW()-2)</f>
        <v/>
      </c>
      <c r="B16" s="9" t="inlineStr">
        <is>
          <t>Developing a scoring model for managing money laundering transactions using machine learning</t>
        </is>
      </c>
      <c r="C16" s="10" t="inlineStr">
        <is>
          <t>Halford E.; Gibson I.; Newfield M.; Dhanwala M.</t>
        </is>
      </c>
      <c r="D16" s="9" t="n">
        <v>2025</v>
      </c>
      <c r="E16" s="9" t="inlineStr">
        <is>
          <t>Journal of Money Laundering Control</t>
        </is>
      </c>
      <c r="F16" s="9" t="inlineStr">
        <is>
          <t>10.1108/JMLC-09-2024-0152</t>
        </is>
      </c>
      <c r="G16" s="10" t="inlineStr">
        <is>
          <t>Purpose: The purpose of this study is twofold. Firstly, this study outlines the creation of an ML “bolt on” transaction monitoring risk scoring model. This ML model uses predictive classification to score the likelihood of an alert being a false or true positive based on historical data. Secondly, this study explores the results of implementing the model in a real-world environment. This is valuable, as it explores the potential to reduce the workload on human analysts responsible for reviewing alerts, by “hibernating” low-risk alerts and “auto-escalating” high-risk alerts. Design/methodology/approach: Machine learning is used to create a “bolt on” model that sits on top of existing rule-based transaction monitoring systems to improve their effectiveness and efficiency. This was achieved by developing a model to mimic the analysts alert review process with the aim of improving efficiency, reducing investigation timeliness and ultimately reducing time-to-SAR duration. The model did so by scoring anti-money laundering (AML) alerts to help conduct three actions: automatic hibernation of low-risk alerts; review of medium-risk alerts by the level 1 team; and auto-escalation of high-risk alerts to the level 2 team for detailed investigation. Findings: The model was successful in consistently identifying low-risk alerts correctly, significantly reducing the volume of false positives that needed manual review. Prior to implementation, 100% of alerts had to be reviewed, by the end of the examined period, 19% of alerts were hibernated and 18% of alerts were auto-escalated. Time taken to investigate and submit SARs was reduced by 61%. Practical implications: The practical implications of the study lie in its contributions to helping banking institutions effectively keep pace with the increasing volume of transactions, in a cost effective and efficient manner, which has a positive effect on their reputation through enhancing their AML response. Social implications: The model outlined greatly enhances the timeliness of investigations, which is crucial for money laundering prevention and enables timely responses by institutions and law enforcement agencies to make better use of the investigation timeframe after an offence is identified, enabling them to more rapidly address threats, freeze assets when necessary, and secure vital evidence before it is lost. Originality/value: This study provides a blueprint for other financial institutions to consider similar approaches to AML. This is significant because previous studies of machine learning applications in the domain of AML have not explored this type of use before, particularly in the context of machine learning ensembled techniques. It also addressed several cited limitations of previous research by increasing the depth of information in the datasets used and providing a formal evaluation. Importantly, the blueprint and evaluation metrics used in this study ensure its reproducibility, addressing another previously identified academic issue. © 2025, Eric Halford, Ian Gibson, Mark Newfield and Mufazzal Dhanwala.</t>
        </is>
      </c>
      <c r="H16" s="9" t="inlineStr">
        <is>
          <t>Scopus</t>
        </is>
      </c>
      <c r="I16" s="8">
        <f>IF(B16="","",IF(AND(F16&lt;&gt;"",SUMPRODUCT(--ISNUMBER(SEARCH(Preseleccionados!$A$2:$A$11,F16)))&gt;0),"YA ESTÁ",IF(AND(F16&lt;&gt;"",COUNTIF($F$3:F16,F16)&gt;1),"REPETIDO","")))</f>
        <v/>
      </c>
      <c r="J16" s="8">
        <f>IF(OR(B16="",I16&lt;&gt;""),"",IF(MOD(COUNTIFS($B$3:B16,"&lt;&gt;",$I$3:I16,""),2)=1,"Carlos","Joaquín"))</f>
        <v/>
      </c>
      <c r="K16" s="11" t="n"/>
      <c r="L16" s="11" t="n"/>
      <c r="M16" s="11" t="n"/>
      <c r="N16" s="11" t="n"/>
      <c r="O16" s="11" t="n"/>
      <c r="P16" s="8">
        <f>IF(J16="","",IF(K16="Sale","Descartado",IF(L16="Sale","Descartado",IF(OR(M16="Q3",M16="Q4",M16="No aparece"),"Descartado",IF(N16="Sale","Descartado",IF(O16="Sigue","APROBADO","En proceso"))))))</f>
        <v/>
      </c>
      <c r="Q16" s="10" t="inlineStr">
        <is>
          <t>Department of Research and Innovation, Rabdan Academy, Abu Dhabi, United Arab Emirates</t>
        </is>
      </c>
      <c r="R16" s="9" t="inlineStr">
        <is>
          <t>Bancos</t>
        </is>
      </c>
    </row>
    <row r="17" hidden="1" ht="60" customHeight="1">
      <c r="A17" s="8">
        <f>IF(B17="","",ROW()-2)</f>
        <v/>
      </c>
      <c r="B17" s="9" t="inlineStr">
        <is>
          <t>Leveraging artificial intelligence for enhanced anti-money laundering in financial institutions</t>
        </is>
      </c>
      <c r="C17" s="10" t="inlineStr">
        <is>
          <t>Premkumar A.; Vidyavathi K.; Sowmya V.L.; Alfurhood B.S.; Irudayasamy A.; Natarajan R.</t>
        </is>
      </c>
      <c r="D17" s="9" t="n">
        <v>2026</v>
      </c>
      <c r="E17" s="9" t="inlineStr">
        <is>
          <t>Discover Computing</t>
        </is>
      </c>
      <c r="F17" s="9" t="inlineStr">
        <is>
          <t>10.1007/s10791-026-10142-9</t>
        </is>
      </c>
      <c r="G17" s="10" t="inlineStr">
        <is>
          <t>Financial institutions continue to face a significant challenge with money laundering and need intelligent, scalable ways to detect illegal financial activity. This paper introduces a machine learning-driven platform for detecting suspicious financial activities in transactional data with a fixed schema, enriched with temporal, behavioral, and financial profile features. Extensive experiments were performed with several popular supervised learning algorithms, including Logistic regression, Decision tree, Random Forest, Gradient Boosting, AdaBoost, K-Nearest Neighbour (KNN), Support vector machine, and Naïve Bayes. The Gradient Boosting classifier performed best overall, achieving an Accuracy of 90.59%, a precision of 90.61%, a recall of 90.59%, and an F1-score of 90.60 in balanced detection, with the highest reliability for detecting suspicious financial transactions. It showed better generalization and robust classification performance than the other models, especially in real anti-money laundering problems, where it performed excellently. These results demonstrate that recent artificial intelligence could fortify anti-money laundering systems by automating and improving the detection of high-risk financial activity. The framework provides a scalable and feasible approach to ensure compliance, manage risk, and secure finances for larger organizations. © The Author(s) 2026.</t>
        </is>
      </c>
      <c r="H17" s="9" t="inlineStr">
        <is>
          <t>Scopus</t>
        </is>
      </c>
      <c r="I17" s="8">
        <f>IF(B17="","",IF(AND(F17&lt;&gt;"",SUMPRODUCT(--ISNUMBER(SEARCH(Preseleccionados!$A$2:$A$11,F17)))&gt;0),"YA ESTÁ",IF(AND(F17&lt;&gt;"",COUNTIF($F$3:F17,F17)&gt;1),"REPETIDO","")))</f>
        <v/>
      </c>
      <c r="J17" s="8">
        <f>IF(OR(B17="",I17&lt;&gt;""),"",IF(MOD(COUNTIFS($B$3:B17,"&lt;&gt;",$I$3:I17,""),2)=1,"Carlos","Joaquín"))</f>
        <v/>
      </c>
      <c r="K17" s="11" t="n"/>
      <c r="L17" s="11" t="n"/>
      <c r="M17" s="11" t="n"/>
      <c r="N17" s="11" t="n"/>
      <c r="O17" s="11" t="n"/>
      <c r="P17" s="8">
        <f>IF(J17="","",IF(K17="Sale","Descartado",IF(L17="Sale","Descartado",IF(OR(M17="Q3",M17="Q4",M17="No aparece"),"Descartado",IF(N17="Sale","Descartado",IF(O17="Sigue","APROBADO","En proceso"))))))</f>
        <v/>
      </c>
      <c r="Q17" s="10" t="inlineStr">
        <is>
          <t>Manipal Institute of Technology Bengaluru, Manipal Academy of Higher Education, Manipal, India; Electronics and Communication Engineering Department, Selvam College of Technology, Salem Road (NH44), Pappinaickenpatti (post), Tamil Nadu, Namakkal, 637003, India; Department of Artificial Intelligence and Machine Learning, BMS Institute of Technology &amp; Management, Bengaluru, 560119, India; Department of Computer Sciences, College of Computer and Information Sciences, Princess Nourah bint Abdulrahman University, P.O. Box 84428, Riyadh, 11671, Saudi Arabia; Department of Computing and Information Sciences, College of Computing and Information Sciences, University of Technology and Applied Sciences, Nizwa, 611, Oman; Department of Computing and Information Sciences, College of Computing and Information Sciences, University of Technology and Applied Sciences, AI-Aqr, Shinas, 324, Oman</t>
        </is>
      </c>
      <c r="R17" s="9" t="inlineStr">
        <is>
          <t>Bancos</t>
        </is>
      </c>
    </row>
    <row r="18" hidden="1" ht="60" customHeight="1">
      <c r="A18" s="8">
        <f>IF(B18="","",ROW()-2)</f>
        <v/>
      </c>
      <c r="B18" s="9" t="inlineStr">
        <is>
          <t>A Proposed Paradigm Using Data Mining to Minimize Online Money Laundering</t>
        </is>
      </c>
      <c r="C18" s="10" t="inlineStr">
        <is>
          <t>Ouf S.; Ashraf M.; Roushdy M.</t>
        </is>
      </c>
      <c r="D18" s="9" t="n">
        <v>2024</v>
      </c>
      <c r="E18" s="9" t="inlineStr">
        <is>
          <t>Informatica (Slovenia)</t>
        </is>
      </c>
      <c r="F18" s="9" t="inlineStr">
        <is>
          <t>10.31449/inf.v48i3.6103</t>
        </is>
      </c>
      <c r="G18" s="10" t="inlineStr">
        <is>
          <t>Since the global financial crisis (GFC), banks have been compromised by various risks. One of the significant risks is online money laundering. It is the third-largest business in the world after currency exchange and the automotive industry. As technology has advanced, the methods of online money laundering have become more evasive. Banks' traditional methods cannot deal with online money laundering. The absence of contemporary anti-money laundering techniques has led to the rise of this criminal activity. As a result, the existing systems need effective technology to accommodate the development of online money laundering. Data mining is the technology that applies mathematical, statistical, and machine-learning techniques to extract patterns like malicious behavior of money launderers and gain information about whether the online transaction belongs to money laundering. Many research papers apply different data mining techniques to predict online money laundering. By analyzing these research papers, we found that authors focused on applying one or two data mining techniques to predict online money laundering but ignored combining many techniques like classification, clustering, and association to improve the accuracy of prediction and overcome the limitations of each of them. Therefore, this paper proposes and implements a paradigm (APPD-OML) based on classification, clustering, and association techniques to improve the accuracy of predicting and detecting online money laundering. The result of testing the proposed paradigm illustrates that the prediction and detection of online money laundering based on applying data mining techniques like classification, clustering, and association achieve a strong accuracy of 94%, f-measure of 95%, and AUC 95% which means that the proposed paradigm outperforms each technique used separately in predicting and detecting online money laundering and outperformed the other research that used data mining in this field. © 2024 Slovene Society Informatika. All rights reserved.</t>
        </is>
      </c>
      <c r="H18" s="9" t="inlineStr">
        <is>
          <t>Scopus</t>
        </is>
      </c>
      <c r="I18" s="8">
        <f>IF(B18="","",IF(AND(F18&lt;&gt;"",SUMPRODUCT(--ISNUMBER(SEARCH(Preseleccionados!$A$2:$A$11,F18)))&gt;0),"YA ESTÁ",IF(AND(F18&lt;&gt;"",COUNTIF($F$3:F18,F18)&gt;1),"REPETIDO","")))</f>
        <v/>
      </c>
      <c r="J18" s="8">
        <f>IF(OR(B18="",I18&lt;&gt;""),"",IF(MOD(COUNTIFS($B$3:B18,"&lt;&gt;",$I$3:I18,""),2)=1,"Carlos","Joaquín"))</f>
        <v/>
      </c>
      <c r="K18" s="11" t="n"/>
      <c r="L18" s="11" t="n"/>
      <c r="M18" s="11" t="n"/>
      <c r="N18" s="11" t="n"/>
      <c r="O18" s="11" t="n"/>
      <c r="P18" s="8">
        <f>IF(J18="","",IF(K18="Sale","Descartado",IF(L18="Sale","Descartado",IF(OR(M18="Q3",M18="Q4",M18="No aparece"),"Descartado",IF(N18="Sale","Descartado",IF(O18="Sigue","APROBADO","En proceso"))))))</f>
        <v/>
      </c>
      <c r="Q18" s="10" t="inlineStr">
        <is>
          <t>Information Systems Department, Faculty of Commerce and Business Administration, Helwan University, Helwan, Egypt; Faculty of Computers &amp; Information Technology, Future University in Egypt New Cairo, Cairo, Egypt</t>
        </is>
      </c>
      <c r="R18" s="9" t="inlineStr">
        <is>
          <t>Bancos</t>
        </is>
      </c>
    </row>
    <row r="19" ht="60" customHeight="1">
      <c r="A19" s="8">
        <f>IF(B19="","",ROW()-2)</f>
        <v/>
      </c>
      <c r="B19" s="9" t="inlineStr">
        <is>
          <t>GCF-MLD: Integrated Approach for Money Laundering Detection Using Machine Learning and Graph Network Analysis</t>
        </is>
      </c>
      <c r="C19" s="10" t="inlineStr">
        <is>
          <t>Irshad F.; Alkhalifah T.; Alturise F.; Khan Y.D.</t>
        </is>
      </c>
      <c r="D19" s="9" t="n">
        <v>2024</v>
      </c>
      <c r="E19" s="9" t="inlineStr">
        <is>
          <t>IEEE Access</t>
        </is>
      </c>
      <c r="F19" s="9" t="inlineStr">
        <is>
          <t>10.1109/ACCESS.2024.3510115</t>
        </is>
      </c>
      <c r="G19" s="10" t="inlineStr">
        <is>
          <t>Money laundering is a critical issue for financial institutions especially in developing countries and detecting such suspicious activities is a challenging task. The rule-based money laundering detection systems currently being used by the financial institutions rely on pre-defined rules that are often not able to keep up with rapidly changing tactics of money launderers. In this regard, machine learning based approaches have gained attention for detecting suspicious transactions related to money laundering. In this study, we propose a novel approach "Graph-Clustering Fusion for Money Laundering Detection (GCF-MLD)"combining graph network analysis with clustering methodology to identify suspicious accounts in real-world banking dataset. The results exhibit that the proposed model can be effectively used by the financial institutions to replace current rule-based techniques to significantly improve the efficiency and effectiveness of money laundering detection systems.  © 2013 IEEE.</t>
        </is>
      </c>
      <c r="H19" s="9" t="inlineStr">
        <is>
          <t>Scopus</t>
        </is>
      </c>
      <c r="I19" s="8">
        <f>IF(B19="","",IF(AND(F19&lt;&gt;"",SUMPRODUCT(--ISNUMBER(SEARCH(Preseleccionados!$A$2:$A$11,F19)))&gt;0),"YA ESTÁ",IF(AND(F19&lt;&gt;"",COUNTIF($F$3:F19,F19)&gt;1),"REPETIDO","")))</f>
        <v/>
      </c>
      <c r="J19" s="8">
        <f>IF(OR(B19="",I19&lt;&gt;""),"",IF(MOD(COUNTIFS($B$3:B19,"&lt;&gt;",$I$3:I19,""),2)=1,"Carlos","Joaquín"))</f>
        <v/>
      </c>
      <c r="K19" s="11" t="inlineStr">
        <is>
          <t>Sigue</t>
        </is>
      </c>
      <c r="L19" s="11" t="inlineStr">
        <is>
          <t>Sigue</t>
        </is>
      </c>
      <c r="M19" s="11" t="n"/>
      <c r="N19" s="11" t="n"/>
      <c r="O19" s="11" t="n"/>
      <c r="P19" s="8">
        <f>IF(J19="","",IF(K19="Sale","Descartado",IF(L19="Sale","Descartado",IF(OR(M19="Q3",M19="Q4",M19="No aparece"),"Descartado",IF(N19="Sale","Descartado",IF(O19="Sigue","APROBADO","En proceso"))))))</f>
        <v/>
      </c>
      <c r="Q19" s="10" t="inlineStr">
        <is>
          <t>University of Management and Technology, School of Systems and Technology, Department of Computer Science, Lahore, 54770, Pakistan; Qassim University, College of Computer, Department of Computer Engineering, Buraydah, 52571, Saudi Arabia; Qassim University, College of Computer, Department of Cybersecurity, Buraydah, 52571, Saudi Arabia</t>
        </is>
      </c>
      <c r="R19" s="9" t="inlineStr">
        <is>
          <t>Bancos</t>
        </is>
      </c>
    </row>
    <row r="20" hidden="1" ht="60" customHeight="1">
      <c r="A20" s="8">
        <f>IF(B20="","",ROW()-2)</f>
        <v/>
      </c>
      <c r="B20" s="9" t="inlineStr">
        <is>
          <t>Scalable Semi-Supervised Graph Learning Techniques for Anti Money Laundering</t>
        </is>
      </c>
      <c r="C20" s="10" t="inlineStr">
        <is>
          <t>Karim M.R.; Hermsen F.; Chala S.A.; De Perthuis P.; Mandal A.</t>
        </is>
      </c>
      <c r="D20" s="9" t="n">
        <v>2024</v>
      </c>
      <c r="E20" s="9" t="inlineStr">
        <is>
          <t>IEEE Access</t>
        </is>
      </c>
      <c r="F20" s="9" t="inlineStr">
        <is>
          <t>10.1109/ACCESS.2024.3383784</t>
        </is>
      </c>
      <c r="G20" s="10" t="inlineStr">
        <is>
          <t>Money laundering is the process by which criminals move large sums of illicit money to hidden locations and integrate them as legal funds through existing financial services. The United Nations (UN) estimates that 2 to 5% of global GDP, which is approximately 0.8 to 2.0 trillion dollars, is laundered globally every year. Therefore, accurately identifying such globally alarming activities is crucial for enforcing anti-money laundering (AML) measures. Numerous techniques have been proposed to detect money laundering from transaction graphs of money transfers between bank accounts by analysing the structural and behavioural dynamics of their corresponding dense subgraphs. However, these techniques often do not consider that money laundering usually involves high-volume flows of funds through chains of bank accounts. Moreover, most AML approaches either result in lower detection accuracy or incur higher computational costs, making them less reliable and suitable for real financial systems. Consequently, only a fraction of money laundering activities can be detected and prevented. In this paper, we propose an efficient approach to AML by employing semi-supervised graph learning techniques on a large-scale financial transactional graph in both pipeline settings (i.e., graph embedding models are first trained to generate node embeddings that are combined with additional topological graph features to train binary classifiers) and end-to-end settings (i.e., node classification is performed by training SkipGCN, FastGCN, and EvolveGCN without requiring separate classifiers) to identify nodes involved in potential money laundering activities. We evaluate our approach on four datasets: AMLSim, Elliptic, IBM AML, and SynthAML, with a view to scalability and practicality for real financial systems. Further, we provide local (e.g., how money is laundered between nodes) and global (e.g., what factors contribute to money laundering) explanations of the predictions by highlighting the predominant factors in money laundering cases and elucidating the mechanisms of illicit fund transfers between nodes to enhance the interpretability and transparency of the AML models. Experimental results suggest that our approach is scalable and effective at detecting money laundering from real and synthetic transaction graphs.  © 2013 IEEE.</t>
        </is>
      </c>
      <c r="H20" s="9" t="inlineStr">
        <is>
          <t>Scopus</t>
        </is>
      </c>
      <c r="I20" s="8">
        <f>IF(B20="","",IF(AND(F20&lt;&gt;"",SUMPRODUCT(--ISNUMBER(SEARCH(Preseleccionados!$A$2:$A$11,F20)))&gt;0),"YA ESTÁ",IF(AND(F20&lt;&gt;"",COUNTIF($F$3:F20,F20)&gt;1),"REPETIDO","")))</f>
        <v/>
      </c>
      <c r="J20" s="8">
        <f>IF(OR(B20="",I20&lt;&gt;""),"",IF(MOD(COUNTIFS($B$3:B20,"&lt;&gt;",$I$3:I20,""),2)=1,"Carlos","Joaquín"))</f>
        <v/>
      </c>
      <c r="K20" s="11" t="n"/>
      <c r="L20" s="11" t="n"/>
      <c r="M20" s="11" t="n"/>
      <c r="N20" s="11" t="n"/>
      <c r="O20" s="11" t="n"/>
      <c r="P20" s="8">
        <f>IF(J20="","",IF(K20="Sale","Descartado",IF(L20="Sale","Descartado",IF(OR(M20="Q3",M20="Q4",M20="No aparece"),"Descartado",IF(N20="Sale","Descartado",IF(O20="Sigue","APROBADO","En proceso"))))))</f>
        <v/>
      </c>
      <c r="Q20" s="10" t="inlineStr">
        <is>
          <t>Rwth Aachen University, Department of Information Systems and Databases, Aachen, 52074, Germany; Fraunhofer Fit, Department of Data Science and Artificial Intelligence, Sankt Augustin, 53757, Germany; École Normale Supérieure (ENS), Paris, 75005, France; Cosmian, Paris, 75008, France</t>
        </is>
      </c>
      <c r="R20" s="9" t="inlineStr">
        <is>
          <t>Bancos</t>
        </is>
      </c>
    </row>
    <row r="21" ht="60" customHeight="1">
      <c r="A21" s="8">
        <f>IF(B21="","",ROW()-2)</f>
        <v/>
      </c>
      <c r="B21" s="9" t="inlineStr">
        <is>
          <t>Incorporating machine learning and a risk-based strategy in an anti-money laundering multiagent system</t>
        </is>
      </c>
      <c r="C21" s="10" t="inlineStr">
        <is>
          <t>Alexandre C.R.; Balsa J.</t>
        </is>
      </c>
      <c r="D21" s="9" t="n">
        <v>2023</v>
      </c>
      <c r="E21" s="9" t="inlineStr">
        <is>
          <t>Expert Systems with Applications</t>
        </is>
      </c>
      <c r="F21" s="9" t="inlineStr">
        <is>
          <t>10.1016/j.eswa.2023.119500</t>
        </is>
      </c>
      <c r="G21" s="10" t="inlineStr">
        <is>
          <t>Over the last decade, the international community has become more aware of the danger and harm caused by the practice of the crime of Money Laundering (ML). Organizations to combat this crime were created and the existing laws were expanded and tightened. Complex legislation, combined with the increase in the volume of financial transactions involved in money laundering schemes, motivated research targeting the improvement and automation of the critical processes of detecting, signaling and communicating suspicious clients. The Anti-Money Laundering (AML) activity is strongly impacted and dependent on this process, which has evolved slowly, in part due to its subjectivity and complexity. This article presents the characteristics of a multiagent system that incorporates machine learning and risk components to identify and flag suspicious bank clients. It also seeks to help human specialists in the analysis of suspicious behavior by these clients. The knowledge bases are obtained through data mining over a real database, obtaining for each client a transactional behavior pattern, enriched with specific rules based on legal aspects, and on the expertise of the AML analysts of the financial institution that funds this research. The adopted risk strategy seeks to identify and classify the ML risk level of each flagged client. To evaluate its results, the system analyzed six months of actual transactions. A set of candidate clients was produced and subsequently investigated by the financial institution's AML analysts, who proved a high degree of correctness in the indicated suspicions, including cases that were not flagged by the antecedent systems in execution for decades at the institution. © 2023</t>
        </is>
      </c>
      <c r="H21" s="9" t="inlineStr">
        <is>
          <t>Scopus</t>
        </is>
      </c>
      <c r="I21" s="8">
        <f>IF(B21="","",IF(AND(F21&lt;&gt;"",SUMPRODUCT(--ISNUMBER(SEARCH(Preseleccionados!$A$2:$A$11,F21)))&gt;0),"YA ESTÁ",IF(AND(F21&lt;&gt;"",COUNTIF($F$3:F21,F21)&gt;1),"REPETIDO","")))</f>
        <v/>
      </c>
      <c r="J21" s="8">
        <f>IF(OR(B21="",I21&lt;&gt;""),"",IF(MOD(COUNTIFS($B$3:B21,"&lt;&gt;",$I$3:I21,""),2)=1,"Carlos","Joaquín"))</f>
        <v/>
      </c>
      <c r="K21" s="11" t="inlineStr">
        <is>
          <t>Sigue</t>
        </is>
      </c>
      <c r="L21" s="11" t="inlineStr">
        <is>
          <t>Sigue</t>
        </is>
      </c>
      <c r="M21" s="11" t="n"/>
      <c r="N21" s="11" t="n"/>
      <c r="O21" s="11" t="n"/>
      <c r="P21" s="8">
        <f>IF(J21="","",IF(K21="Sale","Descartado",IF(L21="Sale","Descartado",IF(OR(M21="Q3",M21="Q4",M21="No aparece"),"Descartado",IF(N21="Sale","Descartado",IF(O21="Sigue","APROBADO","En proceso"))))))</f>
        <v/>
      </c>
      <c r="Q21" s="10" t="inlineStr">
        <is>
          <t>LASIGE, Faculdade de Ciências da Universidade de Lisboa, Edifício C6, Campo Grande, Lisboa, 1749-016, Portugal</t>
        </is>
      </c>
      <c r="R21" s="9" t="inlineStr">
        <is>
          <t>Bancos</t>
        </is>
      </c>
    </row>
    <row r="22" hidden="1" ht="60" customHeight="1">
      <c r="A22" s="8">
        <f>IF(B22="","",ROW()-2)</f>
        <v/>
      </c>
      <c r="B22" s="9" t="inlineStr">
        <is>
          <t>Finding money launderers using heterogeneous graph neural networks</t>
        </is>
      </c>
      <c r="C22" s="10" t="inlineStr">
        <is>
          <t>Johannessen F.; Jullum M.</t>
        </is>
      </c>
      <c r="D22" s="9" t="n">
        <v>2025</v>
      </c>
      <c r="E22" s="9" t="inlineStr">
        <is>
          <t>Journal of Finance and Data Science</t>
        </is>
      </c>
      <c r="F22" s="9" t="inlineStr">
        <is>
          <t>10.1016/j.jfds.2025.100175</t>
        </is>
      </c>
      <c r="G22" s="10" t="inlineStr">
        <is>
          <t>The finance industry depends on effective anti-money laundering (AML) systems to ensure compliance and maintain operational efficiency. However, existing AML systems, which are predominantly rule-based, frequently struggle to detect money laundering accurately. In particular, their inability to learn from historical data and properly account for diverse customer behavior is problematic. Also accounting for the vast amounts of transactional data generated daily, this challenge calls for big data analytics and advanced machine learning techniques. In line with this, the present paper explores a graph neural network (GNN) approach, a state-of-the-art machine learning technique, to identify money laundering activities within a large heterogeneous network constructed from real-world bank transactions and business role data from DNB, Norway’s largest bank. To this end, we extend the (homogeneous) Message Passing Neural Network (MPNN) architecture to operate on a heterogeneous graph, and demonstrate its strong performance in detecting money laundering activities. We showcase the suitability of utilizing GNN methodology to improve electronic surveillance systems for detecting money laundering, thereby contributing a pioneering approach to AML through the application of advanced data science techniques. To the best of our knowledge, this is the first publication applying heterogeneous GNNs for AML purposes with a large real-world heterogeneous network. Copyright © 2025. Publishing services by Elsevier B.V.</t>
        </is>
      </c>
      <c r="H22" s="9" t="inlineStr">
        <is>
          <t>Scopus</t>
        </is>
      </c>
      <c r="I22" s="8">
        <f>IF(B22="","",IF(AND(F22&lt;&gt;"",SUMPRODUCT(--ISNUMBER(SEARCH(Preseleccionados!$A$2:$A$11,F22)))&gt;0),"YA ESTÁ",IF(AND(F22&lt;&gt;"",COUNTIF($F$3:F22,F22)&gt;1),"REPETIDO","")))</f>
        <v/>
      </c>
      <c r="J22" s="8">
        <f>IF(OR(B22="",I22&lt;&gt;""),"",IF(MOD(COUNTIFS($B$3:B22,"&lt;&gt;",$I$3:I22,""),2)=1,"Carlos","Joaquín"))</f>
        <v/>
      </c>
      <c r="K22" s="11" t="n"/>
      <c r="L22" s="11" t="n"/>
      <c r="M22" s="11" t="n"/>
      <c r="N22" s="11" t="n"/>
      <c r="O22" s="11" t="n"/>
      <c r="P22" s="8">
        <f>IF(J22="","",IF(K22="Sale","Descartado",IF(L22="Sale","Descartado",IF(OR(M22="Q3",M22="Q4",M22="No aparece"),"Descartado",IF(N22="Sale","Descartado",IF(O22="Sigue","APROBADO","En proceso"))))))</f>
        <v/>
      </c>
      <c r="Q22" s="10" t="inlineStr">
        <is>
          <t>DNB, P.O. Box 1600, Sentrum, Oslo, NO-0021, Norway; Norwegian Computing Center, P.O. Box 114, Blindern, Oslo, NO-0314, Norway</t>
        </is>
      </c>
      <c r="R22" s="9" t="inlineStr">
        <is>
          <t>Bancos</t>
        </is>
      </c>
    </row>
    <row r="23" ht="60" customHeight="1">
      <c r="A23" s="8">
        <f>IF(B23="","",ROW()-2)</f>
        <v/>
      </c>
      <c r="B23" s="9" t="inlineStr">
        <is>
          <t>Unveiling sentiments of the cullen commission: Exploring AML compliance and regulation through deep learning techniques</t>
        </is>
      </c>
      <c r="C23" s="10" t="inlineStr">
        <is>
          <t>Lokanan M.E.</t>
        </is>
      </c>
      <c r="D23" s="9" t="n">
        <v>2025</v>
      </c>
      <c r="E23" s="9" t="inlineStr">
        <is>
          <t>Journal of Economic Criminology</t>
        </is>
      </c>
      <c r="F23" s="9" t="inlineStr">
        <is>
          <t>10.1016/j.jeconc.2025.100138</t>
        </is>
      </c>
      <c r="G23" s="10" t="inlineStr">
        <is>
          <t>This paper examines the role of anti-money laundering (AML) regulations and compliance in combating money laundering and terrorist financing (ML/TF) in Canada. AML regulations establish guidelines for financial institutions to identify, prevent, and report suspicious activities. However, tensions often arise between AML compliance and regulation due to the challenges associated with implementing and adhering to AML regulations. This paper aims to investigate the sentiments expressed by individuals involved in AML compliance and regulation regarding the effectiveness of AML measures in the Canadian financial sector. The paper uses advanced deep learning (DL) methods like convolutional neural networks (CNN), recurrent neural networks with long short-term memory (RNN+LSTM), and pre-trained models like GloVe and BERT to explore emotions in the context of AML compliance and regulation. The findings indicate that DL models excel at accurately classifying sentiments from testimonies related to AML compliance and regulation. However, there are challenges in accurately capturing negative sentiments, which reflect the complexities and nuances associated with expressing criticisms about regulatory standards. The study emphasizes the importance of understanding the interplay between rational decision-making in compliance and the inherent conflicts with regulation. This article also highlights how DL models can potentially enhance sentiment analysis in the AML enterprise, enabling analysts to make decisions and policies based on financial intelligence. Nevertheless, DL models are not always easy to comprehend. Further research is needed to enhance the understandability and scalability of DL models when analyzing different AML datasets. © 2025</t>
        </is>
      </c>
      <c r="H23" s="9" t="inlineStr">
        <is>
          <t>Scopus</t>
        </is>
      </c>
      <c r="I23" s="8">
        <f>IF(B23="","",IF(AND(F23&lt;&gt;"",SUMPRODUCT(--ISNUMBER(SEARCH(Preseleccionados!$A$2:$A$11,F23)))&gt;0),"YA ESTÁ",IF(AND(F23&lt;&gt;"",COUNTIF($F$3:F23,F23)&gt;1),"REPETIDO","")))</f>
        <v/>
      </c>
      <c r="J23" s="8">
        <f>IF(OR(B23="",I23&lt;&gt;""),"",IF(MOD(COUNTIFS($B$3:B23,"&lt;&gt;",$I$3:I23,""),2)=1,"Carlos","Joaquín"))</f>
        <v/>
      </c>
      <c r="K23" s="11" t="inlineStr">
        <is>
          <t>Sale</t>
        </is>
      </c>
      <c r="L23" s="11" t="n"/>
      <c r="M23" s="11" t="n"/>
      <c r="N23" s="11" t="n"/>
      <c r="O23" s="11" t="n"/>
      <c r="P23" s="8">
        <f>IF(J23="","",IF(K23="Sale","Descartado",IF(L23="Sale","Descartado",IF(OR(M23="Q3",M23="Q4",M23="No aparece"),"Descartado",IF(N23="Sale","Descartado",IF(O23="Sigue","APROBADO","En proceso"))))))</f>
        <v/>
      </c>
      <c r="Q23" s="10" t="inlineStr">
        <is>
          <t>Faculty of Management. Royal Roads University, 2005 Sooke Road, royalroads.ca, Victoria, V9B 5Y2, BC, Canada</t>
        </is>
      </c>
      <c r="R23" s="9" t="inlineStr">
        <is>
          <t>Bancos</t>
        </is>
      </c>
    </row>
    <row r="24" hidden="1" ht="60" customHeight="1">
      <c r="A24" s="8">
        <f>IF(B24="","",ROW()-2)</f>
        <v/>
      </c>
      <c r="B24" s="9" t="inlineStr">
        <is>
          <t>Are the old ways of transaction monitoring dead?</t>
        </is>
      </c>
      <c r="C24" s="10" t="inlineStr">
        <is>
          <t>Gilson C.</t>
        </is>
      </c>
      <c r="D24" s="9" t="n">
        <v>2024</v>
      </c>
      <c r="E24" s="9" t="inlineStr">
        <is>
          <t>Journal of Financial Compliance</t>
        </is>
      </c>
      <c r="F24" s="9" t="inlineStr">
        <is>
          <t>10.69554/RJCX4578</t>
        </is>
      </c>
      <c r="G24" s="10" t="inlineStr">
        <is>
          <t>Financial institutions continue to face the challenge of demonstrating a comprehensive anti-money laundering (AML) transaction monitoring programme that is designed to detect, and aligns with, relevant Federal Financial Institutions Examinations Council (FFIEC) red flags without explicit, consistent confirmation on whether the escalations (ie Suspicious Activity Report [SAR] filings) are correct or valuable. Historically, this led most banks to adopt the use of typology-based if/then rules, resulting in a significant volume of alerts to be reviewed and dispositioned, with only a small portion being identified as potentially suspicious. While machine learning models are touted as an obvious fix to this problem, many banks may find such solutions to be far too expensive, complex and/or resource intensive. In order to answer the question, ‘are the old ways of transaction monitoring dead?’, this paper offers and evaluates various practical solutions, ranging from simple to sophisticated, to reduce false positive alerts generated by traditional AML transaction monitoring applications. © 2024, Henry Stewart Publications. All rights reserved.</t>
        </is>
      </c>
      <c r="H24" s="9" t="inlineStr">
        <is>
          <t>Scopus</t>
        </is>
      </c>
      <c r="I24" s="8">
        <f>IF(B24="","",IF(AND(F24&lt;&gt;"",SUMPRODUCT(--ISNUMBER(SEARCH(Preseleccionados!$A$2:$A$11,F24)))&gt;0),"YA ESTÁ",IF(AND(F24&lt;&gt;"",COUNTIF($F$3:F24,F24)&gt;1),"REPETIDO","")))</f>
        <v/>
      </c>
      <c r="J24" s="8">
        <f>IF(OR(B24="",I24&lt;&gt;""),"",IF(MOD(COUNTIFS($B$3:B24,"&lt;&gt;",$I$3:I24,""),2)=1,"Carlos","Joaquín"))</f>
        <v/>
      </c>
      <c r="K24" s="11" t="n"/>
      <c r="L24" s="11" t="n"/>
      <c r="M24" s="11" t="n"/>
      <c r="N24" s="11" t="n"/>
      <c r="O24" s="11" t="n"/>
      <c r="P24" s="8">
        <f>IF(J24="","",IF(K24="Sale","Descartado",IF(L24="Sale","Descartado",IF(OR(M24="Q3",M24="Q4",M24="No aparece"),"Descartado",IF(N24="Sale","Descartado",IF(O24="Sigue","APROBADO","En proceso"))))))</f>
        <v/>
      </c>
      <c r="Q24" s="10" t="inlineStr">
        <is>
          <t>U.S. Bank, United States; U.S. Bank, 190 S. LaSalle Ave., Chicago, 60603, IL, United States</t>
        </is>
      </c>
      <c r="R24" s="9" t="inlineStr">
        <is>
          <t>Bancos</t>
        </is>
      </c>
    </row>
    <row r="25" ht="60" customHeight="1">
      <c r="A25" s="8">
        <f>IF(B25="","",ROW()-2)</f>
        <v/>
      </c>
      <c r="B25" s="9" t="inlineStr">
        <is>
          <t>Money Laundering Detection in Financial Institutions Using Machine Learning</t>
        </is>
      </c>
      <c r="C25" s="10" t="inlineStr">
        <is>
          <t>Masood N.S.; Sakr R.H.; Eleneen A.A.</t>
        </is>
      </c>
      <c r="D25" s="9" t="n">
        <v>2026</v>
      </c>
      <c r="E25" s="9" t="inlineStr">
        <is>
          <t>Journal of Computer Science</t>
        </is>
      </c>
      <c r="F25" s="9" t="inlineStr">
        <is>
          <t>10.3844/jcssp.2026.1330.1343</t>
        </is>
      </c>
      <c r="G25" s="10" t="inlineStr">
        <is>
          <t>This research aims to develop a system based on machine learning techniques for the accurate detection and classification of money laundering transactions. This system utilizes real and synthetic financial data, including the IBM AML dataset and synthetic financial databases. The methodology included data collection and cleaning, feature extraction from transaction behavior, and training several classification algorithms, including Random Forest, Support Vector Machine (SVM), and LogitBoost. A hybrid model was also built using a stacking approach to leverage the advantages of each algorithm. The models were evaluated using various statistical measures, including precision, recall, and the F1 score, as well as performance analysis via ROC and PR curves. The results demonstrated that the hybrid model outperformed individual models in detecting suspicious transactions and reducing errors, enhancing its effectiveness as an intelligent tool to support financial institutions and regulatory authorities in the early detection of financial crimes. The research recommends expanding the scope of data used and leveraging deep learning techniques to enhance the system's efficiency and accuracy. © 2026 Noor Samer Masood, Rasha Hassan Sakr and Amal Abou Eleneen. This open-access article is distributed under a Creative Commons Attribution (CC-BY) 4.0 license.</t>
        </is>
      </c>
      <c r="H25" s="9" t="inlineStr">
        <is>
          <t>Scopus</t>
        </is>
      </c>
      <c r="I25" s="8">
        <f>IF(B25="","",IF(AND(F25&lt;&gt;"",SUMPRODUCT(--ISNUMBER(SEARCH(Preseleccionados!$A$2:$A$11,F25)))&gt;0),"YA ESTÁ",IF(AND(F25&lt;&gt;"",COUNTIF($F$3:F25,F25)&gt;1),"REPETIDO","")))</f>
        <v/>
      </c>
      <c r="J25" s="8">
        <f>IF(OR(B25="",I25&lt;&gt;""),"",IF(MOD(COUNTIFS($B$3:B25,"&lt;&gt;",$I$3:I25,""),2)=1,"Carlos","Joaquín"))</f>
        <v/>
      </c>
      <c r="K25" s="11" t="inlineStr">
        <is>
          <t>Sigue</t>
        </is>
      </c>
      <c r="L25" s="11" t="inlineStr">
        <is>
          <t>Sigue</t>
        </is>
      </c>
      <c r="M25" s="11" t="n"/>
      <c r="N25" s="11" t="n"/>
      <c r="O25" s="11" t="n"/>
      <c r="P25" s="8">
        <f>IF(J25="","",IF(K25="Sale","Descartado",IF(L25="Sale","Descartado",IF(OR(M25="Q3",M25="Q4",M25="No aparece"),"Descartado",IF(N25="Sale","Descartado",IF(O25="Sigue","APROBADO","En proceso"))))))</f>
        <v/>
      </c>
      <c r="Q25" s="10" t="inlineStr">
        <is>
          <t>Department of Computer Science, Faculty of Computers and Information, Mansoura University, Mansoura, Egypt</t>
        </is>
      </c>
      <c r="R25" s="9" t="inlineStr">
        <is>
          <t>Bancos</t>
        </is>
      </c>
    </row>
    <row r="26" hidden="1" ht="60" customHeight="1">
      <c r="A26" s="8">
        <f>IF(B26="","",ROW()-2)</f>
        <v/>
      </c>
      <c r="B26" s="9" t="inlineStr">
        <is>
          <t>Explainable artificial intelligence models for detecting suspicious bank transactions</t>
        </is>
      </c>
      <c r="C26" s="10" t="inlineStr">
        <is>
          <t>Narasapuram N.K.; Shah S.A.A.; Shiratuddin M.F.; Sohel F.</t>
        </is>
      </c>
      <c r="D26" s="9" t="n">
        <v>2026</v>
      </c>
      <c r="E26" s="9" t="inlineStr">
        <is>
          <t>International Journal of Machine Learning and Cybernetics</t>
        </is>
      </c>
      <c r="F26" s="9" t="inlineStr">
        <is>
          <t>10.1007/s13042-026-02994-w</t>
        </is>
      </c>
      <c r="G26" s="10" t="inlineStr">
        <is>
          <t>Detecting financial crime is a complex challenge due to evolving criminal strategies and fragmented detection systems, particularly in the areas of money laundering and fraud. While it is easy to implement, traditional rule-based approaches lack adaptability to new threats, and machine learning models, though more effective, often function as opaque "black boxes," limiting their practical use in regulated domains like banking, where interpretability and accountability are essential. This research presents a novel framework that combines intrinsic and post-hoc XAI techniques to detect suspicious bank transactions. Intrinsic methods provide model-inherent transparency, while post-hoc methods offer behavior-level explanations, enabling robust cross-verification of the model’s decision logic. This dual-layered explainability supports both global understanding of the model and local interpretability for individual predictions. Experimental evaluation on synthetic datasets shows that the proposed framework achieves promising results, with F1 scores ranging from 0.54 to 0.63 for anti-money laundering (AML) detection and 0.66 to 0.78 for fraud detection, depending on the underlying model architecture. The use of explainability tools also enables the identification of key features shared across fraud and AML cases, revealing structural similarities. These insights demonstrate that a unified model can effectively capture both crime types, offering practical benefits for integrated financial crime risk management. By addressing the information silos caused by different regulatory frameworks and departmental responsibilities, this work supports the development of joint investigative systems and facilitates better communication between compliance teams. In addition, the explainable nature of the models helps satisfy regulatory scrutiny while improving investigator trust and decision support. The proposed approach contributes to the growing field of interpretable machine learning by providing a scalable, auditable, and regulator-friendly solution for detecting complex financial crimes. © The Author(s) 2026.</t>
        </is>
      </c>
      <c r="H26" s="9" t="inlineStr">
        <is>
          <t>Scopus</t>
        </is>
      </c>
      <c r="I26" s="8">
        <f>IF(B26="","",IF(AND(F26&lt;&gt;"",SUMPRODUCT(--ISNUMBER(SEARCH(Preseleccionados!$A$2:$A$11,F26)))&gt;0),"YA ESTÁ",IF(AND(F26&lt;&gt;"",COUNTIF($F$3:F26,F26)&gt;1),"REPETIDO","")))</f>
        <v/>
      </c>
      <c r="J26" s="8">
        <f>IF(OR(B26="",I26&lt;&gt;""),"",IF(MOD(COUNTIFS($B$3:B26,"&lt;&gt;",$I$3:I26,""),2)=1,"Carlos","Joaquín"))</f>
        <v/>
      </c>
      <c r="K26" s="11" t="n"/>
      <c r="L26" s="11" t="n"/>
      <c r="M26" s="11" t="n"/>
      <c r="N26" s="11" t="n"/>
      <c r="O26" s="11" t="n"/>
      <c r="P26" s="8">
        <f>IF(J26="","",IF(K26="Sale","Descartado",IF(L26="Sale","Descartado",IF(OR(M26="Q3",M26="Q4",M26="No aparece"),"Descartado",IF(N26="Sale","Descartado",IF(O26="Sigue","APROBADO","En proceso"))))))</f>
        <v/>
      </c>
      <c r="Q26" s="10" t="inlineStr">
        <is>
          <t>School of Information Technology, Murdoch University, 90 South Street, Murdoch, 6150, WA, Australia; School of Science, Edith Cowan University, Perth, WA, Australia</t>
        </is>
      </c>
      <c r="R26" s="9" t="inlineStr">
        <is>
          <t>Bancos</t>
        </is>
      </c>
    </row>
    <row r="27" ht="60" customHeight="1">
      <c r="A27" s="8">
        <f>IF(B27="","",ROW()-2)</f>
        <v/>
      </c>
      <c r="B27" s="9" t="inlineStr">
        <is>
          <t>Predicting Money Laundering Using Machine Learning and Artificial Neural Networks Algorithms in Banks</t>
        </is>
      </c>
      <c r="C27" s="10" t="inlineStr">
        <is>
          <t>Lokanan M.E.</t>
        </is>
      </c>
      <c r="D27" s="9" t="n">
        <v>2024</v>
      </c>
      <c r="E27" s="9" t="inlineStr">
        <is>
          <t>Journal of Applied Security Research</t>
        </is>
      </c>
      <c r="F27" s="9" t="inlineStr">
        <is>
          <t>10.1080/19361610.2022.2114744</t>
        </is>
      </c>
      <c r="G27" s="10" t="inlineStr">
        <is>
          <t>This paper aims to build a machine learning and a neural network model to detect the probability of money laundering in banks. The paper's data came from a simulation of actual transactions flagged for money laundering in Middle Eastern banks. The main findings highlight that criminal networks mainly use the integration stage to integrate money into the financial system. Fraudsters prefer to launder funds in the early hours, morning followed by the business day's afternoon time intervals. Additionally, the Naïve Bayes and Random Forest classifiers were identified as the two best-performing models to predict bank money laundering transactions. © 2022 Taylor &amp; Francis Group, LLC.</t>
        </is>
      </c>
      <c r="H27" s="9" t="inlineStr">
        <is>
          <t>Scopus</t>
        </is>
      </c>
      <c r="I27" s="8">
        <f>IF(B27="","",IF(AND(F27&lt;&gt;"",SUMPRODUCT(--ISNUMBER(SEARCH(Preseleccionados!$A$2:$A$11,F27)))&gt;0),"YA ESTÁ",IF(AND(F27&lt;&gt;"",COUNTIF($F$3:F27,F27)&gt;1),"REPETIDO","")))</f>
        <v/>
      </c>
      <c r="J27" s="8">
        <f>IF(OR(B27="",I27&lt;&gt;""),"",IF(MOD(COUNTIFS($B$3:B27,"&lt;&gt;",$I$3:I27,""),2)=1,"Carlos","Joaquín"))</f>
        <v/>
      </c>
      <c r="K27" s="11" t="inlineStr">
        <is>
          <t>Sigue</t>
        </is>
      </c>
      <c r="L27" s="11" t="inlineStr">
        <is>
          <t>Sigue</t>
        </is>
      </c>
      <c r="M27" s="11" t="n"/>
      <c r="N27" s="11" t="n"/>
      <c r="O27" s="11" t="n"/>
      <c r="P27" s="8">
        <f>IF(J27="","",IF(K27="Sale","Descartado",IF(L27="Sale","Descartado",IF(OR(M27="Q3",M27="Q4",M27="No aparece"),"Descartado",IF(N27="Sale","Descartado",IF(O27="Sigue","APROBADO","En proceso"))))))</f>
        <v/>
      </c>
      <c r="Q27" s="10" t="inlineStr">
        <is>
          <t>Faculty of Management, Royal Roads University, Victoria, Canada</t>
        </is>
      </c>
      <c r="R27" s="9" t="inlineStr">
        <is>
          <t>Bancos</t>
        </is>
      </c>
    </row>
    <row r="28" hidden="1" ht="60" customHeight="1">
      <c r="A28" s="8">
        <f>IF(B28="","",ROW()-2)</f>
        <v/>
      </c>
      <c r="B28" s="9" t="inlineStr">
        <is>
          <t>A Hybrid Machine Learning Model for Streaming Frequency-Based Anomaly Detection in Banking Transactions</t>
        </is>
      </c>
      <c r="C28" s="10" t="inlineStr">
        <is>
          <t>Hersyaputra M.S.; Jaya M.T.T.; Anggraini R.N.E.</t>
        </is>
      </c>
      <c r="D28" s="9" t="n">
        <v>2026</v>
      </c>
      <c r="E28" s="9" t="inlineStr">
        <is>
          <t>Journal of Information and Communication Technology</t>
        </is>
      </c>
      <c r="F28" s="9" t="inlineStr">
        <is>
          <t>10.32890/jict2026.25.1.4</t>
        </is>
      </c>
      <c r="G28" s="10" t="inlineStr">
        <is>
          <t>The increasing sophistication of fraudulent activities in digital financial systems necessitates real-time anomaly detection models that can adapt to evolving transactional behaviours. While prior research has explored machine learning approaches for fraud detection, most rely on static datasets and overlook temporal dependencies inherent in financial transaction streams. This study addresses this critical gap by proposing a hybrid anomaly detection model that integrates dynamic streaming-frequency analysis via a 7-day sliding window, an unsupervised Long Short-Term Memory (LSTM) -autoencoder for anomaly scoring, and a supervised Artificial Neural Network (ANN) for classification. The sliding window mechanism enables the model to capture short-term temporal fluctuations and behavioural patterns, aligning with the streaming nature of financial data. The LSTM-autoencoder is trained exclusively on normal transaction sequences to learn temporal dependencies and compute reconstruction errors, which serve as deep anomaly features. These features are then fed into the ANN to classify transactions as normal or anomalous. Experimental results on the IBM Anti-Money Laundering (AML) dataset demonstrate the effectiveness of the proposed framework, achieving a classification accuracy of 99.92%, precision of 94.12%, recall of 88.43%, and F1 score of 91.19%. This layered architecture not only enhances early detection of anomalous behaviour but also provides a scalable, adaptive solution for real-time fraud detection in streaming financial environments. © 2026, Universiti Utara Malaysia Press. All rights reserved.</t>
        </is>
      </c>
      <c r="H28" s="9" t="inlineStr">
        <is>
          <t>Scopus</t>
        </is>
      </c>
      <c r="I28" s="8">
        <f>IF(B28="","",IF(AND(F28&lt;&gt;"",SUMPRODUCT(--ISNUMBER(SEARCH(Preseleccionados!$A$2:$A$11,F28)))&gt;0),"YA ESTÁ",IF(AND(F28&lt;&gt;"",COUNTIF($F$3:F28,F28)&gt;1),"REPETIDO","")))</f>
        <v/>
      </c>
      <c r="J28" s="8">
        <f>IF(OR(B28="",I28&lt;&gt;""),"",IF(MOD(COUNTIFS($B$3:B28,"&lt;&gt;",$I$3:I28,""),2)=1,"Carlos","Joaquín"))</f>
        <v/>
      </c>
      <c r="K28" s="11" t="n"/>
      <c r="L28" s="11" t="n"/>
      <c r="M28" s="11" t="n"/>
      <c r="N28" s="11" t="n"/>
      <c r="O28" s="11" t="n"/>
      <c r="P28" s="8">
        <f>IF(J28="","",IF(K28="Sale","Descartado",IF(L28="Sale","Descartado",IF(OR(M28="Q3",M28="Q4",M28="No aparece"),"Descartado",IF(N28="Sale","Descartado",IF(O28="Sigue","APROBADO","En proceso"))))))</f>
        <v/>
      </c>
      <c r="Q28" s="10" t="inlineStr">
        <is>
          <t>Department of Informatics, Institut Teknologi Sepuluh Nopember, Indonesia</t>
        </is>
      </c>
      <c r="R28" s="9" t="inlineStr">
        <is>
          <t>Bancos</t>
        </is>
      </c>
    </row>
    <row r="29" ht="60" customHeight="1">
      <c r="A29" s="8">
        <f>IF(B29="","",ROW()-2)</f>
        <v/>
      </c>
      <c r="B29" s="9" t="inlineStr">
        <is>
          <t>Comparative analysis of machine learning models for the detection of fraudulent banking transactions</t>
        </is>
      </c>
      <c r="C29" s="10" t="inlineStr">
        <is>
          <t>Preciado Martínez P.M.; Reier Forradellas R.F.; Garay Gallastegui L.M.; Náñez Alonso S.L.</t>
        </is>
      </c>
      <c r="D29" s="9" t="n">
        <v>2025</v>
      </c>
      <c r="E29" s="9" t="inlineStr">
        <is>
          <t>Cogent Business and Management</t>
        </is>
      </c>
      <c r="F29" s="9" t="inlineStr">
        <is>
          <t>10.1080/23311975.2025.2474209</t>
        </is>
      </c>
      <c r="G29" s="10" t="inlineStr">
        <is>
          <t>This research presents a comparative analysis of machine learning models for detecting fraudulent banking transactions, a growing problem in the digital financial sector. The aim is to evaluate and determine the most effective model for identifying suspicious transactions, overcoming the challenge of a highly imbalanced dataset. Using data from 565,000 real-world transfers, models based on algorithms such as Random Forest, Neural Networks and Naive Bayes were built and tested. Of these, the Random Forest model proved to be the most robust, achieving 100% accuracy for legitimate transactions and 95.79% accuracy for fraud detection. This level of accuracy reinforces its viability for implementation in real-time banking systems. This result underlines the feasibility of integrating such a model into banking systems for real-time analysis, allowing the interception of dubious transactions. This capability would drastically reduce exposure to financial fraud, optimizing transaction security without compromising operational fluidity. In addition, limitations were identified and future approaches discussed, including oversampling techniques and adjusting class weights to improve detection in unbalanced datasets. © 2025 The Author(s). Published by Informa UK Limited, trading as Taylor &amp; Francis Group.</t>
        </is>
      </c>
      <c r="H29" s="9" t="inlineStr">
        <is>
          <t>Scopus</t>
        </is>
      </c>
      <c r="I29" s="8">
        <f>IF(B29="","",IF(AND(F29&lt;&gt;"",SUMPRODUCT(--ISNUMBER(SEARCH(Preseleccionados!$A$2:$A$11,F29)))&gt;0),"YA ESTÁ",IF(AND(F29&lt;&gt;"",COUNTIF($F$3:F29,F29)&gt;1),"REPETIDO","")))</f>
        <v/>
      </c>
      <c r="J29" s="8">
        <f>IF(OR(B29="",I29&lt;&gt;""),"",IF(MOD(COUNTIFS($B$3:B29,"&lt;&gt;",$I$3:I29,""),2)=1,"Carlos","Joaquín"))</f>
        <v/>
      </c>
      <c r="K29" s="11" t="inlineStr">
        <is>
          <t>Sigue</t>
        </is>
      </c>
      <c r="L29" s="11" t="inlineStr">
        <is>
          <t>Sigue</t>
        </is>
      </c>
      <c r="M29" s="11" t="n"/>
      <c r="N29" s="11" t="n"/>
      <c r="O29" s="11" t="n"/>
      <c r="P29" s="8">
        <f>IF(J29="","",IF(K29="Sale","Descartado",IF(L29="Sale","Descartado",IF(OR(M29="Q3",M29="Q4",M29="No aparece"),"Descartado",IF(N29="Sale","Descartado",IF(O29="Sigue","APROBADO","En proceso"))))))</f>
        <v/>
      </c>
      <c r="Q29" s="10" t="inlineStr">
        <is>
          <t>Technology and Innovation Unit, Caja Rural de Almendralejo SCC, Badajoz, Spain; DEKIS Research Group, Department of Economics, Faculty of Social and Legal Sciences, Catholic University of Ávila, Avila, Spain; UNIR - International University of La Rioja, Logroño, Spain</t>
        </is>
      </c>
      <c r="R29" s="9" t="inlineStr">
        <is>
          <t>Bancos</t>
        </is>
      </c>
    </row>
    <row r="30" hidden="1" ht="60" customHeight="1">
      <c r="A30" s="8">
        <f>IF(B30="","",ROW()-2)</f>
        <v/>
      </c>
      <c r="B30" s="9" t="inlineStr">
        <is>
          <t>Transaction Monitoring Netherlands: Fighting financial crime through data collaboration and advanced analytics</t>
        </is>
      </c>
      <c r="C30" s="10" t="inlineStr">
        <is>
          <t>Siegers N.</t>
        </is>
      </c>
      <c r="D30" s="9" t="n">
        <v>2024</v>
      </c>
      <c r="E30" s="9" t="inlineStr">
        <is>
          <t>Journal of Payments Strategy and Systems</t>
        </is>
      </c>
      <c r="F30" s="9" t="inlineStr">
        <is>
          <t>10.69554/jjpz9847</t>
        </is>
      </c>
      <c r="G30" s="10" t="inlineStr">
        <is>
          <t>This paper discusses the experience of Transactie Monitoring Nederland (TMNL) — a collaboration between ABN AMRO, ING, Rabobank, Triodos Bank and De Volksbank, established in July 2020 to enhance financial security and compliance within the Dutch financial sector. The paper explores TMNL’s impact, the key lessons learned from its implementation and operation, best practices and its potential future role in safeguarding the integrity of the financial sector. As the paper explains, there is a growing consensus that more can be done to strengthen the framework for fighting financial crime through public–private partnerships and increased data/ information sharing. To this end, TMNL works to identify potentially unusual transaction patterns that are not visible to individual banks in isolation, underscoring the significance of collaboration and information sharing among financial institutions (and with other key players in the prevention ecosystem), and developing a united front against financial crime. The paper calls for the integration of artificial intelligence and machine learning in identifying complex patterns and anomalies in transaction data and emphasises the need for this to happen in a secure, sustained and viable fashion. It also underscores the ongoing need for regulatory adaptability, arguing that as financial crimes evolve, regulatory frameworks must be dynamic to address emerging challenges effectively. In conclusion, the paper provides valuable insights into the successful implementation of collaborative compliance efforts and the continuous adaptations required to combat financial crime. © Henry Stewart Publications.</t>
        </is>
      </c>
      <c r="H30" s="9" t="inlineStr">
        <is>
          <t>Scopus</t>
        </is>
      </c>
      <c r="I30" s="8">
        <f>IF(B30="","",IF(AND(F30&lt;&gt;"",SUMPRODUCT(--ISNUMBER(SEARCH(Preseleccionados!$A$2:$A$11,F30)))&gt;0),"YA ESTÁ",IF(AND(F30&lt;&gt;"",COUNTIF($F$3:F30,F30)&gt;1),"REPETIDO","")))</f>
        <v/>
      </c>
      <c r="J30" s="8">
        <f>IF(OR(B30="",I30&lt;&gt;""),"",IF(MOD(COUNTIFS($B$3:B30,"&lt;&gt;",$I$3:I30,""),2)=1,"Carlos","Joaquín"))</f>
        <v/>
      </c>
      <c r="K30" s="11" t="n"/>
      <c r="L30" s="11" t="n"/>
      <c r="M30" s="11" t="n"/>
      <c r="N30" s="11" t="n"/>
      <c r="O30" s="11" t="n"/>
      <c r="P30" s="8">
        <f>IF(J30="","",IF(K30="Sale","Descartado",IF(L30="Sale","Descartado",IF(OR(M30="Q3",M30="Q4",M30="No aparece"),"Descartado",IF(N30="Sale","Descartado",IF(O30="Sigue","APROBADO","En proceso"))))))</f>
        <v/>
      </c>
      <c r="Q30" s="10" t="inlineStr">
        <is>
          <t>Transactie Monitoring Nederland B.V, Netherlands</t>
        </is>
      </c>
      <c r="R30" s="9" t="inlineStr">
        <is>
          <t>Bancos</t>
        </is>
      </c>
    </row>
    <row r="31" ht="60" customHeight="1">
      <c r="A31" s="8">
        <f>IF(B31="","",ROW()-2)</f>
        <v/>
      </c>
      <c r="B31" s="9" t="inlineStr">
        <is>
          <t>Automating the Detection of Fraudulent Activities in Online Banking Service</t>
        </is>
      </c>
      <c r="C31" s="10" t="inlineStr">
        <is>
          <t>Asomura I.; Iijima R.; Mori T.</t>
        </is>
      </c>
      <c r="D31" s="9" t="n">
        <v>2023</v>
      </c>
      <c r="E31" s="9" t="inlineStr">
        <is>
          <t>Journal of Information Processing</t>
        </is>
      </c>
      <c r="F31" s="9" t="inlineStr">
        <is>
          <t>10.2197/IPSJJIP.31.643</t>
        </is>
      </c>
      <c r="G31" s="10" t="inlineStr">
        <is>
          <t>Banks offering Online Banking services need to detect and prevent unauthorized electronic funds transfers to reduce financial crime risk. They monitor online banking transaction histories and use their own methods to detect and prevent unauthorized electronic fund transfers. However, unauthorized electronic fund transfers by criminals have not been eliminated. The average rate of false positives in the transaction monitoring systems installed in Japanese banks is up to 99%, indicating that the monitoring systems are not fully functional. Furthermore, the personnel responsible for fraud detection must manually check a large number of false positives, making it difficult for operators to be productive in their assigned tasks. Based on the above background, we develop a method to detect unauthorized electronic fund transfers and suspicious transactions with high accuracy using machine learning algorithms and evaluate its accuracy. Specifically, a supervised machine learning algorithm is applied to detect fraudulent transactions automatically. We evaluated the proposed method on a large set of online banking transaction data provided by a major Japanese bank for the period March 2019 to May 2020. We demonstrated that our approach could detect fraudulent activity with extremely high accuracy; FPR=0.000 and FNR=0.005 can be achieved for a security policy that minimizes false positives. © 2023 Information Processing Society of Japan.</t>
        </is>
      </c>
      <c r="H31" s="9" t="inlineStr">
        <is>
          <t>Scopus</t>
        </is>
      </c>
      <c r="I31" s="8">
        <f>IF(B31="","",IF(AND(F31&lt;&gt;"",SUMPRODUCT(--ISNUMBER(SEARCH(Preseleccionados!$A$2:$A$11,F31)))&gt;0),"YA ESTÁ",IF(AND(F31&lt;&gt;"",COUNTIF($F$3:F31,F31)&gt;1),"REPETIDO","")))</f>
        <v/>
      </c>
      <c r="J31" s="8">
        <f>IF(OR(B31="",I31&lt;&gt;""),"",IF(MOD(COUNTIFS($B$3:B31,"&lt;&gt;",$I$3:I31,""),2)=1,"Carlos","Joaquín"))</f>
        <v/>
      </c>
      <c r="K31" s="11" t="inlineStr">
        <is>
          <t>Sigue</t>
        </is>
      </c>
      <c r="L31" s="11" t="inlineStr">
        <is>
          <t>Sigue</t>
        </is>
      </c>
      <c r="M31" s="11" t="n"/>
      <c r="N31" s="11" t="n"/>
      <c r="O31" s="11" t="n"/>
      <c r="P31" s="8">
        <f>IF(J31="","",IF(K31="Sale","Descartado",IF(L31="Sale","Descartado",IF(OR(M31="Q3",M31="Q4",M31="No aparece"),"Descartado",IF(N31="Sale","Descartado",IF(O31="Sigue","APROBADO","En proceso"))))))</f>
        <v/>
      </c>
      <c r="Q31" s="10" t="inlineStr">
        <is>
          <t>Waseda University, Shinjuku, Tokyo, 169–8555, Japan; NICT, Tokyo, Koganei, 184–8795, Japan; RIKEN AIP, Chuo, Tokyo, 103–0027, Japan</t>
        </is>
      </c>
      <c r="R31" s="9" t="inlineStr">
        <is>
          <t>Bancos</t>
        </is>
      </c>
    </row>
    <row r="32" hidden="1" ht="60" customHeight="1">
      <c r="A32" s="8">
        <f>IF(B32="","",ROW()-2)</f>
        <v/>
      </c>
      <c r="B32" s="9" t="inlineStr">
        <is>
          <t>Improving client risk classification with machine learning to increase anti-money laundering detection efficiency</t>
        </is>
      </c>
      <c r="C32" s="10" t="inlineStr">
        <is>
          <t>Reite E.J.; Karlsen J.; Westgaard E.G.</t>
        </is>
      </c>
      <c r="D32" s="9" t="n">
        <v>2025</v>
      </c>
      <c r="E32" s="9" t="inlineStr">
        <is>
          <t>Journal of Money Laundering Control</t>
        </is>
      </c>
      <c r="F32" s="9" t="inlineStr">
        <is>
          <t>10.1108/JMLC-03-2024-0040</t>
        </is>
      </c>
      <c r="G32" s="10" t="inlineStr">
        <is>
          <t>Purpose: This study aims to describe and empirically explore a new method for bank anti-money laundering (AML) systems using machine learning models. Current automated money laundering detection systems are notorious for flagging many false positives, causing bank employees to spend unnecessary time manually checking transactions that do not constitute money laundering. Decreasing the number of false positives can free up resources for investigating money laundering. Design/methodology/approach: This study uses unique bank data on small- and medium-sized enterprises (SMEs) to examine how various client risk classification models can predict future suspicious transactions. This study explores various sources of client risk data and machine-learning approaches. Findings: Client risk classification models can accurately predict suspicious future transactions. Adding accounting data and credit score information to client risk classification dramatically improves accuracy. This makes it easier to balance the risk of missing suspicious transactions with the need to reduce the number of false positives. Practical implications: The suggested approach with readily available data sources and a focus on classifying client risk in a dynamic model can help banks significantly improve their efficiency by targeting their AML efforts toward the riskiest clients. Originality/value: To the best of the authors’ knowledge, this study is the first to empirically explore machine learning in client risk classification, document how machine learning in client risk classification can significantly reduce false positives by incorporating novel, but readily available sources, such as credit risk and accounting data. © 2024, Emerald Publishing Limited.</t>
        </is>
      </c>
      <c r="H32" s="9" t="inlineStr">
        <is>
          <t>Scopus</t>
        </is>
      </c>
      <c r="I32" s="8">
        <f>IF(B32="","",IF(AND(F32&lt;&gt;"",SUMPRODUCT(--ISNUMBER(SEARCH(Preseleccionados!$A$2:$A$11,F32)))&gt;0),"YA ESTÁ",IF(AND(F32&lt;&gt;"",COUNTIF($F$3:F32,F32)&gt;1),"REPETIDO","")))</f>
        <v/>
      </c>
      <c r="J32" s="8">
        <f>IF(OR(B32="",I32&lt;&gt;""),"",IF(MOD(COUNTIFS($B$3:B32,"&lt;&gt;",$I$3:I32,""),2)=1,"Carlos","Joaquín"))</f>
        <v/>
      </c>
      <c r="K32" s="11" t="n"/>
      <c r="L32" s="11" t="n"/>
      <c r="M32" s="11" t="n"/>
      <c r="N32" s="11" t="n"/>
      <c r="O32" s="11" t="n"/>
      <c r="P32" s="8">
        <f>IF(J32="","",IF(K32="Sale","Descartado",IF(L32="Sale","Descartado",IF(OR(M32="Q3",M32="Q4",M32="No aparece"),"Descartado",IF(N32="Sale","Descartado",IF(O32="Sigue","APROBADO","En proceso"))))))</f>
        <v/>
      </c>
      <c r="Q32" s="10" t="inlineStr">
        <is>
          <t>NTNU Business School, Norwegian University of Science and Technology, Trondheim, Norway; Department of Economics, Norwegian University of Science and Technology, Trondheim, Norway</t>
        </is>
      </c>
      <c r="R32" s="9" t="inlineStr">
        <is>
          <t>Bancos</t>
        </is>
      </c>
    </row>
    <row r="33" hidden="1" ht="60" customHeight="1">
      <c r="A33" s="8">
        <f>IF(B33="","",ROW()-2)</f>
        <v/>
      </c>
      <c r="B33" s="9" t="inlineStr">
        <is>
          <t>DESIGN AND IMPLEMENTATION OF DISK-BASED GRAPH FEATURE PREPROCESSOR FOR TERRORIST FINANCING DETECTION</t>
        </is>
      </c>
      <c r="C33" s="10" t="inlineStr">
        <is>
          <t>Bolshibayeva A.; Rakhmetulayeva S.; Kulbayeva A.; Yasar A.-U.-H.</t>
        </is>
      </c>
      <c r="D33" s="9" t="n">
        <v>2025</v>
      </c>
      <c r="E33" s="9" t="inlineStr">
        <is>
          <t>Eastern-European Journal of Enterprise Technologies</t>
        </is>
      </c>
      <c r="F33" s="9" t="inlineStr">
        <is>
          <t>10.15587/1729-4061.2025.340033</t>
        </is>
      </c>
      <c r="G33" s="10" t="inlineStr">
        <is>
          <t>The object of the study is streaming payment transactions modeled as directed multigraphs. This study investigates terrorism-financing detection in payment transaction networks using disk-based graph processing and anomaly detection. The key problem addressed is the high memory consumption of graph-based detectors, which prevents analysis on systems with limited Random Access Memory, typical of small and mid-sized financial institutions. A disk-based graph feature preprocessor (DGFP) was made to get around this problem. During stream processing, DGFP dynamically labels connected components and identifies eight graph patterns characteristic of terrorist financing, including fan-in/fan-out stars and multi-hop chains. The system persists component descriptors to a columnar store on an SSD and uses an LRU-managed hot cache to serve the features, enabling real-time transaction scoring with sub-second latency. On a two-million-transaction AMLSim stream, the system integrates with a lightweight Isolation Forest and achieves an F1-score of 0.76 while reducing peak RAM from 18.3 GB to 9.8 GB and maintaining 410 ± 15 ms mean latency for 10 000 transactions. Per-motif computation remains ≤ 28.4 ms (median &lt; 24 ms), supporting real-time scoring on commodity hardware. DGFP produces model-agnostic graph features that interoperate with standard anomaly detectors without retraining GNNs. Contributions of this research include an external memory architecture for streaming graph feature extraction; a motif-aware feature labeling scheme stored on SSD and cached by LRU; and an empirical evaluation demonstrating real-time performance and memory efficiency improvements on anti-money laundering data. Copyright © 2025, Authors.</t>
        </is>
      </c>
      <c r="H33" s="9" t="inlineStr">
        <is>
          <t>Scopus</t>
        </is>
      </c>
      <c r="I33" s="8">
        <f>IF(B33="","",IF(AND(F33&lt;&gt;"",SUMPRODUCT(--ISNUMBER(SEARCH(Preseleccionados!$A$2:$A$11,F33)))&gt;0),"YA ESTÁ",IF(AND(F33&lt;&gt;"",COUNTIF($F$3:F33,F33)&gt;1),"REPETIDO","")))</f>
        <v/>
      </c>
      <c r="J33" s="8">
        <f>IF(OR(B33="",I33&lt;&gt;""),"",IF(MOD(COUNTIFS($B$3:B33,"&lt;&gt;",$I$3:I33,""),2)=1,"Carlos","Joaquín"))</f>
        <v/>
      </c>
      <c r="K33" s="11" t="n"/>
      <c r="L33" s="11" t="n"/>
      <c r="M33" s="11" t="n"/>
      <c r="N33" s="11" t="n"/>
      <c r="O33" s="11" t="n"/>
      <c r="P33" s="8">
        <f>IF(J33="","",IF(K33="Sale","Descartado",IF(L33="Sale","Descartado",IF(OR(M33="Q3",M33="Q4",M33="No aparece"),"Descartado",IF(N33="Sale","Descartado",IF(O33="Sigue","APROBADO","En proceso"))))))</f>
        <v/>
      </c>
      <c r="Q33" s="10" t="inlineStr">
        <is>
          <t>Department of Information Systems, International IT University, Manas str., 34/1, Almaty, 050060, Kazakhstan; Department of Cybersecurity, Information Processing and Storage, Satbayev University, Satbaev str., 22, Almaty, 050013, Kazakhstan; Department of Information Systems, International IT University, Manas str., 34/1, Almaty, 050060, Kazakhstan; Transportation Research Institute (IMOB), Hasselt University, Martelarenlaan str., 42, Diepenbeek, 3590, Belgium</t>
        </is>
      </c>
      <c r="R33" s="9" t="inlineStr">
        <is>
          <t>Bancos</t>
        </is>
      </c>
    </row>
    <row r="34" hidden="1" ht="60" customHeight="1">
      <c r="A34" s="8">
        <f>IF(B34="","",ROW()-2)</f>
        <v/>
      </c>
      <c r="B34" s="9" t="inlineStr">
        <is>
          <t>Enhancing AML compliance: a machine learning approach to suspicious activity detection through routine activity theory</t>
        </is>
      </c>
      <c r="C34" s="10" t="inlineStr">
        <is>
          <t>Lokanan M.E.</t>
        </is>
      </c>
      <c r="D34" s="9" t="n">
        <v>2025</v>
      </c>
      <c r="E34" s="9" t="inlineStr">
        <is>
          <t>Journal of Money Laundering Control</t>
        </is>
      </c>
      <c r="F34" s="9" t="inlineStr">
        <is>
          <t>10.1108/JMLC-07-2024-0114</t>
        </is>
      </c>
      <c r="G34" s="10" t="inlineStr">
        <is>
          <t>Purpose This study explores the application of machine learning (ML) algorithms to enhance the detection and reporting of Suspicious Activity Reports (SARs) in California’s financial sector. This research aims to improve anti-money laundering (AML) compliance by evaluating the effectiveness of advanced ML techniques, specifically CatBoost and Decision Tree algorithms, in identifying suspicious financial transactions. Design/methodology/approach This research uses a comprehensive methodological framework involving the analysis of 45,000 SAR filings from financial institutions and regulatory agencies in California, dating back to 2018. Various ML algorithms, including linear regression, random forest, decision tree and CatBoost, are used to analyze SAR filing patterns and predict suspicious transactions. Findings The findings reveal that CatBoost outperforms other models, offering a better fit to the data and higher predictive accuracy with a low RMSE and high cross-validation scores. The Decision Tree algorithm also demonstrates significant promise but is slightly less effective than CatBoost. This study confirms that ML algorithms, particularly CatBoost, significantly improve the detection and reporting of suspicious financial activities, thereby enhancing AML compliance. Originality/value This research contributes to the literature by integrating advanced ML techniques into AML compliance, moving beyond traditional statistical approaches. The findings provide practical implications for financial institutions, highlighting the potential of ML algorithms to enhance the effectiveness of SAR filings and bolster regulatory efforts in mitigating financial crime. This study underscores the value of ML in developing targeted policies to curb illicit financial activities and advance AML analytical capabilities. © 2025 Emerald Publishing Limited</t>
        </is>
      </c>
      <c r="H34" s="9" t="inlineStr">
        <is>
          <t>Scopus</t>
        </is>
      </c>
      <c r="I34" s="8">
        <f>IF(B34="","",IF(AND(F34&lt;&gt;"",SUMPRODUCT(--ISNUMBER(SEARCH(Preseleccionados!$A$2:$A$11,F34)))&gt;0),"YA ESTÁ",IF(AND(F34&lt;&gt;"",COUNTIF($F$3:F34,F34)&gt;1),"REPETIDO","")))</f>
        <v/>
      </c>
      <c r="J34" s="8">
        <f>IF(OR(B34="",I34&lt;&gt;""),"",IF(MOD(COUNTIFS($B$3:B34,"&lt;&gt;",$I$3:I34,""),2)=1,"Carlos","Joaquín"))</f>
        <v/>
      </c>
      <c r="K34" s="11" t="n"/>
      <c r="L34" s="11" t="n"/>
      <c r="M34" s="11" t="n"/>
      <c r="N34" s="11" t="n"/>
      <c r="O34" s="11" t="n"/>
      <c r="P34" s="8">
        <f>IF(J34="","",IF(K34="Sale","Descartado",IF(L34="Sale","Descartado",IF(OR(M34="Q3",M34="Q4",M34="No aparece"),"Descartado",IF(N34="Sale","Descartado",IF(O34="Sigue","APROBADO","En proceso"))))))</f>
        <v/>
      </c>
      <c r="Q34" s="10" t="inlineStr">
        <is>
          <t>Faculty of Management, Royal Roads University, Victoria, Canada</t>
        </is>
      </c>
      <c r="R34" s="9" t="inlineStr">
        <is>
          <t>Bancos</t>
        </is>
      </c>
    </row>
    <row r="35" ht="60" customHeight="1">
      <c r="A35" s="8">
        <f>IF(B35="","",ROW()-2)</f>
        <v/>
      </c>
      <c r="B35" s="9" t="inlineStr">
        <is>
          <t>Legal implications of automated suspicious transaction monitoring: enhancing integrity of AI</t>
        </is>
      </c>
      <c r="C35" s="10" t="inlineStr">
        <is>
          <t>Turksen U.; Benson V.; Adamyk B.</t>
        </is>
      </c>
      <c r="D35" s="9" t="n">
        <v>2024</v>
      </c>
      <c r="E35" s="9" t="inlineStr">
        <is>
          <t>Journal of Banking Regulation</t>
        </is>
      </c>
      <c r="F35" s="9" t="inlineStr">
        <is>
          <t>10.1057/s41261-024-00233-2</t>
        </is>
      </c>
      <c r="G35" s="10" t="inlineStr">
        <is>
          <t>The fast-paced advances of technology, including artificial intelligence (AI) and machine learning (ML), continue to create new opportunities for banks and other financial institutions. This study reveals the barriers to trust in AI by prudential banking supervisors (compliance with regulations). We conducted a qualitative study on the drivers for adoption of explainability technologies that increase transparency and understanding of complex algorithms (some of the underpinning legal principles in the proposed EU AI Act). By using human-centred and ethics-by-design methods coupled with interviews of the key stakeholders from Eastern European private and public banks and IT AI/ML developers, this research has identified the key challenges concerning the employment of AI algorithms. The results indicate a conflicting view of AI barriers whilst revealing the importance of AI/ML systems in banks, the growing willingness of banks to use such systems more widely, and the problematic aspects of implementing AI/ML systems related to their cost and economic efficiency. Keeping up with the complex regulation requirements comes at a significant cost to banks and financial firms. The focus of the empirical study, stakeholders in Ukraine, Estonia and Poland, was chosen because of the fact that there has been a sharp increase in the adoption of AI/ML models in this jurisdiction in the context of its war with Russia and the ensuing sanctions regime. While the “leapfrogging” AI/ML paths in each bank surveyed had its own drivers and challenges, these insights provide lessons for banks in other European jurisdictions. The analysis of four criminal cases brought against top banks and conclusions of the study indicate that the increase in predicate crimes for money laundering, constantly evolving sanctions regime along with the enhanced scrutiny and enforcement action against banks are hindering technology innovation and legal implications of using AI driven tools for compliance. © The Author(s) 2024.</t>
        </is>
      </c>
      <c r="H35" s="9" t="inlineStr">
        <is>
          <t>Scopus</t>
        </is>
      </c>
      <c r="I35" s="8">
        <f>IF(B35="","",IF(AND(F35&lt;&gt;"",SUMPRODUCT(--ISNUMBER(SEARCH(Preseleccionados!$A$2:$A$11,F35)))&gt;0),"YA ESTÁ",IF(AND(F35&lt;&gt;"",COUNTIF($F$3:F35,F35)&gt;1),"REPETIDO","")))</f>
        <v/>
      </c>
      <c r="J35" s="8">
        <f>IF(OR(B35="",I35&lt;&gt;""),"",IF(MOD(COUNTIFS($B$3:B35,"&lt;&gt;",$I$3:I35,""),2)=1,"Carlos","Joaquín"))</f>
        <v/>
      </c>
      <c r="K35" s="11" t="inlineStr">
        <is>
          <t>Sale</t>
        </is>
      </c>
      <c r="L35" s="11" t="n"/>
      <c r="M35" s="11" t="n"/>
      <c r="N35" s="11" t="n"/>
      <c r="O35" s="11" t="n"/>
      <c r="P35" s="8">
        <f>IF(J35="","",IF(K35="Sale","Descartado",IF(L35="Sale","Descartado",IF(OR(M35="Q3",M35="Q4",M35="No aparece"),"Descartado",IF(N35="Sale","Descartado",IF(O35="Sigue","APROBADO","En proceso"))))))</f>
        <v/>
      </c>
      <c r="Q35" s="10" t="inlineStr">
        <is>
          <t>Centre for Financial and Corporate Integrity, Coventry University, Coventry, CV1 2TU, United Kingdom; Aston Business School, Aston University, Birmingham, B4 7ET, United Kingdom</t>
        </is>
      </c>
      <c r="R35" s="9" t="inlineStr">
        <is>
          <t>Bancos</t>
        </is>
      </c>
    </row>
    <row r="36" hidden="1" ht="60" customHeight="1">
      <c r="A36" s="8">
        <f>IF(B36="","",ROW()-2)</f>
        <v/>
      </c>
      <c r="B36" s="9" t="inlineStr">
        <is>
          <t>Explainable and fair anti-money laundering models using a reproducible SHAP framework for financial institutions</t>
        </is>
      </c>
      <c r="C36" s="10" t="inlineStr">
        <is>
          <t>Mazumder P.T.</t>
        </is>
      </c>
      <c r="D36" s="9" t="n">
        <v>2026</v>
      </c>
      <c r="E36" s="9" t="inlineStr">
        <is>
          <t>Discover Artificial Intelligence</t>
        </is>
      </c>
      <c r="F36" s="9" t="inlineStr">
        <is>
          <t>10.1007/s44163-026-00944-7</t>
        </is>
      </c>
      <c r="G36" s="10" t="inlineStr">
        <is>
          <t>Financial institutions are under growing regulatory pressure to detect and report money laundering in a way that is accurate, auditable, and fair. This study introduces a reproducible machine learning pipeline for Anti-Money Laundering (AML) detection that integrates statistically validated synthetic data generation, class-imbalance handling, and post-hoc explainability. Using a 10,000-record synthetic AML dataset generated with the Synthetic Data Vaultand Faker, we train Random Forest and Multilayer Perceptron classifiers with class weighting and F2-optimized threshold tuning. Our primary objective is to maximize recall of suspicious transactions while maintaining operationally manageable alert volumes, reflecting regulatory expectations that missed suspicious activity should be minimized. Model performance is evaluated using PR-AUC, precision/recall for the suspicious class, F1 score, MCC, balanced accuracy, and probability calibration. Global and local model interpretability are achieved using TreeSHAP and KernelSHAP, enabling analysts to understand feature contributions and diagnose false positives and false negatives. Fairness audits across age and regional proxies reveal Equal Opportunity gaps, which are mitigated via post-processing threshold adjustments. Results show substantially improved AML recall at regulatory-compliant operating points, with improved precision relative to simple baselines, and provide transparent, auditable outputs aligned with the Bank Secrecy Act and FATF guidance. This work offers U.S. financial institutions a deployable framework that enhances compliance efficiency, supports supervisory review, and enables replication and industry benchmarking. © The Author(s) 2026.</t>
        </is>
      </c>
      <c r="H36" s="9" t="inlineStr">
        <is>
          <t>Scopus</t>
        </is>
      </c>
      <c r="I36" s="8">
        <f>IF(B36="","",IF(AND(F36&lt;&gt;"",SUMPRODUCT(--ISNUMBER(SEARCH(Preseleccionados!$A$2:$A$11,F36)))&gt;0),"YA ESTÁ",IF(AND(F36&lt;&gt;"",COUNTIF($F$3:F36,F36)&gt;1),"REPETIDO","")))</f>
        <v/>
      </c>
      <c r="J36" s="8">
        <f>IF(OR(B36="",I36&lt;&gt;""),"",IF(MOD(COUNTIFS($B$3:B36,"&lt;&gt;",$I$3:I36,""),2)=1,"Carlos","Joaquín"))</f>
        <v/>
      </c>
      <c r="K36" s="11" t="n"/>
      <c r="L36" s="11" t="n"/>
      <c r="M36" s="11" t="n"/>
      <c r="N36" s="11" t="n"/>
      <c r="O36" s="11" t="n"/>
      <c r="P36" s="8">
        <f>IF(J36="","",IF(K36="Sale","Descartado",IF(L36="Sale","Descartado",IF(OR(M36="Q3",M36="Q4",M36="No aparece"),"Descartado",IF(N36="Sale","Descartado",IF(O36="Sigue","APROBADO","En proceso"))))))</f>
        <v/>
      </c>
      <c r="Q36" s="10" t="inlineStr">
        <is>
          <t>Department of Finance, Georgia State University, Atlanta, GA, United States</t>
        </is>
      </c>
      <c r="R36" s="9" t="inlineStr">
        <is>
          <t>Bancos</t>
        </is>
      </c>
    </row>
    <row r="37" ht="60" customHeight="1">
      <c r="A37" s="8">
        <f>IF(B37="","",ROW()-2)</f>
        <v/>
      </c>
      <c r="B37" s="9" t="inlineStr">
        <is>
          <t>Hybrid big data stream processing model for effective fraud detection in cash electronic payment cards</t>
        </is>
      </c>
      <c r="C37" s="10" t="inlineStr">
        <is>
          <t>Shamsinejad E.; Banirostam H.; BaniRostam T.</t>
        </is>
      </c>
      <c r="D37" s="9" t="n">
        <v>2026</v>
      </c>
      <c r="E37" s="9" t="inlineStr">
        <is>
          <t>International Journal of System Assurance Engineering and Management</t>
        </is>
      </c>
      <c r="F37" s="9" t="inlineStr">
        <is>
          <t>10.1007/s13198-026-03367-w</t>
        </is>
      </c>
      <c r="G37" s="10" t="inlineStr">
        <is>
          <t>Fraud detection in banking systems is of critical importance due to its vital role in identifying unauthorized transactions and preventing financial losses. The complexity of data structures, high transaction volume, and continuous evolution of fraud patterns pose significant challenges. This paper presents an innovative system-level hybrid framework for fraud detection in electronic payment cards, which integrates unsupervised and supervised algorithms within a novel two-stage streaming pipeline featuring adaptive per-cardholder profiling, Dempster–Shafer-based score fusion, and drift-aware dynamic thresholds. While building upon established algorithms, the primary novelty lies in the architectural design and synergistic integration rather than new base methods. The model first constructs distinct user behavior profiles (based on transaction timing, amounts, and other features) with adaptive thresholds, periodically updated in the batch learning layer to handle concept drift in streaming environments. It then applies a two-stage filtering process: the fast preliminary filter uses unsupervised algorithms K-means clustering and Hidden Markov model (HMM) to rapidly detect anomalies and reduce candidates, selected for their efficiency, scalability, and complementary capture of spatial and temporal deviations. The explicit filter employs supervised algorithms K-nearest neighbors (KNN), Logistic Regression, and Decision Tree to classify remaining suspicious transactions with high precision, chosen for their effectiveness in imbalanced data, interpretability, local pattern recognition, and non-linear modeling. The framework also leverages the maximum difference between consecutive observations (defined as the largest absolute change in normalized scores or features between successive steps, motivated by its sensitivity to abrupt anomalies) as a key discriminative feature. The model is evaluated using classification metrics (cross-validation accuracy, recall, precision, F1-score) for categorical fraud detection and regression metrics (RMSE, MBE) for numerical anomaly prediction. Results on a large credit card transaction dataset show the proposed framework outperforms several state-of-the-art baselines (Random forest, XGBoost, Isolation forest, Autoencoder) with statistically significant improvements (p &lt; 0.05 or better) in F1-score and recall, while achieving superior detection performance and computational efficiency. By combining multi-algorithm strengths with in-memory stream processing, this research delivers an effective, scalable solution for real-time fraud detection in electronic payment systems with built-in adaptability to evolving patterns. © The Author(s) under exclusive licence to The Society for Reliability Engineering, Quality and Operations Management (SREQOM), India and The Division of Operation and Maintenance, Lulea University of Technology, Sweden 2026.</t>
        </is>
      </c>
      <c r="H37" s="9" t="inlineStr">
        <is>
          <t>Scopus</t>
        </is>
      </c>
      <c r="I37" s="8">
        <f>IF(B37="","",IF(AND(F37&lt;&gt;"",SUMPRODUCT(--ISNUMBER(SEARCH(Preseleccionados!$A$2:$A$11,F37)))&gt;0),"YA ESTÁ",IF(AND(F37&lt;&gt;"",COUNTIF($F$3:F37,F37)&gt;1),"REPETIDO","")))</f>
        <v/>
      </c>
      <c r="J37" s="8">
        <f>IF(OR(B37="",I37&lt;&gt;""),"",IF(MOD(COUNTIFS($B$3:B37,"&lt;&gt;",$I$3:I37,""),2)=1,"Carlos","Joaquín"))</f>
        <v/>
      </c>
      <c r="K37" s="11" t="inlineStr">
        <is>
          <t>Sigue</t>
        </is>
      </c>
      <c r="L37" s="11" t="inlineStr">
        <is>
          <t>Sigue</t>
        </is>
      </c>
      <c r="M37" s="11" t="n"/>
      <c r="N37" s="11" t="n"/>
      <c r="O37" s="11" t="n"/>
      <c r="P37" s="8">
        <f>IF(J37="","",IF(K37="Sale","Descartado",IF(L37="Sale","Descartado",IF(OR(M37="Q3",M37="Q4",M37="No aparece"),"Descartado",IF(N37="Sale","Descartado",IF(O37="Sigue","APROBADO","En proceso"))))))</f>
        <v/>
      </c>
      <c r="Q37" s="10" t="inlineStr">
        <is>
          <t>Computer Engineering (Software), Specializing in Data Science, Tehran, Iran; Master of Data Analytics, University of Niagara Falls, Niagara Falls, ON, Canada</t>
        </is>
      </c>
      <c r="R37" s="9" t="inlineStr">
        <is>
          <t>Bancos</t>
        </is>
      </c>
    </row>
    <row r="38" hidden="1" ht="60" customHeight="1">
      <c r="A38" s="8">
        <f>IF(B38="","",ROW()-2)</f>
        <v/>
      </c>
      <c r="B38" s="9" t="inlineStr">
        <is>
          <t>Qualifying and raising anti-money laundering alarms with deep learning</t>
        </is>
      </c>
      <c r="C38" s="10" t="inlineStr">
        <is>
          <t>Jensen R.I.T.; Iosifidis A.</t>
        </is>
      </c>
      <c r="D38" s="9" t="n">
        <v>2023</v>
      </c>
      <c r="E38" s="9" t="inlineStr">
        <is>
          <t>Expert Systems with Applications</t>
        </is>
      </c>
      <c r="F38" s="9" t="inlineStr">
        <is>
          <t>10.1016/j.eswa.2022.119037</t>
        </is>
      </c>
      <c r="G38" s="10" t="inlineStr">
        <is>
          <t>We propose a deep learning approach to qualify and raise anti-money laundering alarms in banks. The motivating idea is to replace predefined rules with latent features automatically extracted from transaction sequences. To this end, we experiment with recurrent and Transformer encoder layers. We test the approach with a large data set from Spar Nord Bank. Our best model employs gated recurrent units and self-attention. When used to qualify alarms raised by a traditional AML system, the model is able to reduce the number of false positives by more than 33.3% while retaining 98.8% of all true positives. In a small experiment, we also use the model to raise 75 new alarms on clients with high risk scores but with no traditional alarm inquiries in the last 12 months. After expert review, this prompted 26 clients to be reported to Danish authorities. © 2022 Elsevier Ltd</t>
        </is>
      </c>
      <c r="H38" s="9" t="inlineStr">
        <is>
          <t>Scopus</t>
        </is>
      </c>
      <c r="I38" s="8">
        <f>IF(B38="","",IF(AND(F38&lt;&gt;"",SUMPRODUCT(--ISNUMBER(SEARCH(Preseleccionados!$A$2:$A$11,F38)))&gt;0),"YA ESTÁ",IF(AND(F38&lt;&gt;"",COUNTIF($F$3:F38,F38)&gt;1),"REPETIDO","")))</f>
        <v/>
      </c>
      <c r="J38" s="8">
        <f>IF(OR(B38="",I38&lt;&gt;""),"",IF(MOD(COUNTIFS($B$3:B38,"&lt;&gt;",$I$3:I38,""),2)=1,"Carlos","Joaquín"))</f>
        <v/>
      </c>
      <c r="K38" s="11" t="n"/>
      <c r="L38" s="11" t="n"/>
      <c r="M38" s="11" t="n"/>
      <c r="N38" s="11" t="n"/>
      <c r="O38" s="11" t="n"/>
      <c r="P38" s="8">
        <f>IF(J38="","",IF(K38="Sale","Descartado",IF(L38="Sale","Descartado",IF(OR(M38="Q3",M38="Q4",M38="No aparece"),"Descartado",IF(N38="Sale","Descartado",IF(O38="Sigue","APROBADO","En proceso"))))))</f>
        <v/>
      </c>
      <c r="Q38" s="10" t="inlineStr">
        <is>
          <t>Department of Electrical and Computer Engineering, Aarhus University, Finlandsgade 22, Aarhus, 8200, Denmark; Spar Nord Bank, Skelagervej 9, Aalborg, 9000, Denmark</t>
        </is>
      </c>
      <c r="R38" s="9" t="inlineStr">
        <is>
          <t>Bancos</t>
        </is>
      </c>
    </row>
    <row r="39" ht="60" customHeight="1">
      <c r="A39" s="8">
        <f>IF(B39="","",ROW()-2)</f>
        <v/>
      </c>
      <c r="B39" s="9" t="inlineStr">
        <is>
          <t>Fund transfer fraud detection: Analyzing irregular transactions and customer relationships with self-attention and graph neural networks</t>
        </is>
      </c>
      <c r="C39" s="10" t="inlineStr">
        <is>
          <t>Shih Y.-C.; Dai T.-S.; Chen Y.-P.; Ti Y.-W.; Wang W.-H.; Kuo Y.</t>
        </is>
      </c>
      <c r="D39" s="9" t="n">
        <v>2025</v>
      </c>
      <c r="E39" s="9" t="inlineStr">
        <is>
          <t>Expert Systems with Applications</t>
        </is>
      </c>
      <c r="F39" s="9" t="inlineStr">
        <is>
          <t>10.1016/j.eswa.2024.125211</t>
        </is>
      </c>
      <c r="G39" s="10" t="inlineStr">
        <is>
          <t>This paper presents a method for identifying fraudulent fund transfers using real bank data, analyzing customer information, transactional activities, and customer relationships. The preprocessing step transforms high-dimensional, irregular transaction time series into regular time series, then further compresses them in a latent space using a self-attention-based autoencoder. To address the scarcity of fraudulent data samples and mitigate training issues caused by data imbalance, various deep generative models, including the conditional variational autoencoder and Wasserstein generative adversarial network, are applied to generate additional fraudulent raw data and augment fraud samples in latent space. The reparameterization trick is integrated into the encoder–decoder structure to boost the model's generative capabilities. Additionally, a Graph Neural Network (GNN) is used to model customer relationships. The proposed approach utilizes end-to-end learning, integrating the autoencoder's reconstruction loss, KL divergence loss (when reparameterization trick is applied), and classification loss for fraud detection. To optimize computational resources, neighborhood sampling for GNN is combined with mini-batch training for the autoencoder, improving both training efficiency and model reliability. Comprehensive experiments demonstrate the effectiveness of the proposed fusion network, highlighting the importance of each component and preprocessing step. For example, the areas under the precision–recall curves for fraud detection show notable improvements in our model. For suspicious transactions identified by the bank's rules, other models range from 0.66% to 22.15%, while our model reached 27%. For non-suspicious transactions, other models range from 2.53% to 22.00%, with our model achieving 22.90%. This model has potential for wider applications in anomaly detection, particularly in datasets with irregular time series and complex customer relationships. © 2024 Elsevier Ltd</t>
        </is>
      </c>
      <c r="H39" s="9" t="inlineStr">
        <is>
          <t>Scopus</t>
        </is>
      </c>
      <c r="I39" s="8">
        <f>IF(B39="","",IF(AND(F39&lt;&gt;"",SUMPRODUCT(--ISNUMBER(SEARCH(Preseleccionados!$A$2:$A$11,F39)))&gt;0),"YA ESTÁ",IF(AND(F39&lt;&gt;"",COUNTIF($F$3:F39,F39)&gt;1),"REPETIDO","")))</f>
        <v/>
      </c>
      <c r="J39" s="8">
        <f>IF(OR(B39="",I39&lt;&gt;""),"",IF(MOD(COUNTIFS($B$3:B39,"&lt;&gt;",$I$3:I39,""),2)=1,"Carlos","Joaquín"))</f>
        <v/>
      </c>
      <c r="K39" s="11" t="inlineStr">
        <is>
          <t>Sigue</t>
        </is>
      </c>
      <c r="L39" s="11" t="inlineStr">
        <is>
          <t>Sigue</t>
        </is>
      </c>
      <c r="M39" s="11" t="n"/>
      <c r="N39" s="11" t="n"/>
      <c r="O39" s="11" t="n"/>
      <c r="P39" s="8">
        <f>IF(J39="","",IF(K39="Sale","Descartado",IF(L39="Sale","Descartado",IF(OR(M39="Q3",M39="Q4",M39="No aparece"),"Descartado",IF(N39="Sale","Descartado",IF(O39="Sigue","APROBADO","En proceso"))))))</f>
        <v/>
      </c>
      <c r="Q39" s="10" t="inlineStr">
        <is>
          <t>Department of Computer Science, Yang Ming Chiao Tung University, No. 1001, Daxue Rd., Hsinchu, 300093, Taiwan; Department of Information Management and Finance, Yang Ming Chiao Tung University, No. 1001, Daxue Rd., Hsinchu, 300093, Taiwan; Risk and Insurance Research Center, National Chengchi University, No. 64, Sec. 2, Zhinan Rd., Wenshan Dist., Taipei, 11605, Taiwan; School of Information Engineering, Xiamen Ocean Vocational College, No. 61 Tiyu Rd, Fujian, Xiamen, 361012, China</t>
        </is>
      </c>
      <c r="R39" s="9" t="inlineStr">
        <is>
          <t>Bancos</t>
        </is>
      </c>
    </row>
    <row r="40" hidden="1" ht="60" customHeight="1">
      <c r="A40" s="8">
        <f>IF(B40="","",ROW()-2)</f>
        <v/>
      </c>
      <c r="B40" s="9" t="inlineStr">
        <is>
          <t>Mitigating Class Imbalance in Banking Transactions: A Graph-Based GAN Solution for Fraud Detection</t>
        </is>
      </c>
      <c r="C40" s="10" t="inlineStr">
        <is>
          <t>K K G.; B V A.; Reddy H.P.; Mayur N.R.; Bhowmik B.</t>
        </is>
      </c>
      <c r="D40" s="9" t="n">
        <v>2026</v>
      </c>
      <c r="E40" s="9" t="inlineStr">
        <is>
          <t>Computational Economics</t>
        </is>
      </c>
      <c r="F40" s="9" t="inlineStr">
        <is>
          <t>10.1007/s10614-025-11219-1</t>
        </is>
      </c>
      <c r="G40" s="10" t="inlineStr">
        <is>
          <t>In an era of complex digital transactions, financial fraud detection remains a critical challenge for institutions worldwide. Financial datasets are often highly imbalanced, with fraudulent transactions constituting only a small fraction of the overall volume. This imbalance hinders machine learning models, leading to diminished accuracy in identifying minority-class instances. To address this issue, this paper provides a comprehensive comparative analysis of various class imbalance adjusting schemes—including resampling, cost-sensitive, and ensemble methods—and highlights their respective limitations in handling complex transactional data. Building on these insights, the paper proposes a novel approach that integrates Conditional Generative Adversarial Networks (CGAN) with Graph Attention Networks (GAT). The CGAN+GAT framework synthesizes high-fidelity minority-class samples while preserving the intricate relational structures inherent in financial transactions. Extensive experiments on the IBM Transactions for Anti-Money Laundering (AML) dataset demonstrate that CGAN+GAT outperforms traditional resampling methods, cost-sensitive approaches, and baseline graph-based models in both statistical fidelity and classification performance. Evaluation metrics, including accuracy, F1-score, and G-Mean, indicate that the CGAN+GAT approach achieves superior detection rates, significantly reducing false negatives. This research underscores the importance of combining generative modeling with graph-based attention mechanisms to enhance fraud detection in highly imbalanced, complex financial datasets. © The Author(s), under exclusive licence to Springer Science+Business Media, LLC, part of Springer Nature 2026.</t>
        </is>
      </c>
      <c r="H40" s="9" t="inlineStr">
        <is>
          <t>Scopus</t>
        </is>
      </c>
      <c r="I40" s="8">
        <f>IF(B40="","",IF(AND(F40&lt;&gt;"",SUMPRODUCT(--ISNUMBER(SEARCH(Preseleccionados!$A$2:$A$11,F40)))&gt;0),"YA ESTÁ",IF(AND(F40&lt;&gt;"",COUNTIF($F$3:F40,F40)&gt;1),"REPETIDO","")))</f>
        <v/>
      </c>
      <c r="J40" s="8">
        <f>IF(OR(B40="",I40&lt;&gt;""),"",IF(MOD(COUNTIFS($B$3:B40,"&lt;&gt;",$I$3:I40,""),2)=1,"Carlos","Joaquín"))</f>
        <v/>
      </c>
      <c r="K40" s="11" t="n"/>
      <c r="L40" s="11" t="n"/>
      <c r="M40" s="11" t="n"/>
      <c r="N40" s="11" t="n"/>
      <c r="O40" s="11" t="n"/>
      <c r="P40" s="8">
        <f>IF(J40="","",IF(K40="Sale","Descartado",IF(L40="Sale","Descartado",IF(OR(M40="Q3",M40="Q4",M40="No aparece"),"Descartado",IF(N40="Sale","Descartado",IF(O40="Sigue","APROBADO","En proceso"))))))</f>
        <v/>
      </c>
      <c r="Q40" s="10" t="inlineStr">
        <is>
          <t>Ishwarchandra Vidyasagar AIT Lab, BRICS Laboratory, Department of Computer Science Engineering, National Institute of Technology Karnataka, Surathkal, Karnataka, Mangalore, 575025, India</t>
        </is>
      </c>
      <c r="R40" s="9" t="inlineStr">
        <is>
          <t>Bancos</t>
        </is>
      </c>
    </row>
    <row r="41" ht="60" customHeight="1">
      <c r="A41" s="8">
        <f>IF(B41="","",ROW()-2)</f>
        <v/>
      </c>
      <c r="B41" s="9" t="inlineStr">
        <is>
          <t>Detection of abnormal transaction using spatial ontology-based deep learning approach</t>
        </is>
      </c>
      <c r="C41" s="10" t="inlineStr">
        <is>
          <t>Sambandam P.</t>
        </is>
      </c>
      <c r="D41" s="9" t="n">
        <v>2025</v>
      </c>
      <c r="E41" s="9" t="inlineStr">
        <is>
          <t>Knowledge and Information Systems</t>
        </is>
      </c>
      <c r="F41" s="9" t="inlineStr">
        <is>
          <t>10.1007/s10115-025-02579-z</t>
        </is>
      </c>
      <c r="G41" s="10" t="inlineStr">
        <is>
          <t>Spatial ontology is one of the significant techniques for detecting suspicious transactions in financial institutions. This work proposes an expert system via spatial ontology-based Deep learning for effectively detecting abnormal transactions. The proposed methodology has the stages like pre-processing, construction of ontology and transaction detection. The initial step is pre-processing, during which specific data items are converted into ontology format and noisy data is eliminated. Next, a set of semantic web rule languages and a knowledge base are incorporated into the construction of ontology. New knowledge is gathered from the predefined rules using native reasoning to assist in ontology about every transaction. The proposed method uses a stacked autoencoder (SAE), a deep learning technique, to classify normal and abnormal transactions, and it is trained on the deduced knowledge base. After the classification process, the abnormal transaction list is provided to the query inferred to obtain different information from that list. The experimental analysis is carried out on the two benchmark datasets, synthetic financial and credit card datasets, and compared with the existing approaches. The accuracy obtained by the proposed model for synthetic financial and credit card datasets is 93% and 96.23%, respectively. The experimental results showed that the proposed system performed better than the state-of-the-art approaches. © The Author(s), under exclusive licence to Springer-Verlag London Ltd., part of Springer Nature 2025.</t>
        </is>
      </c>
      <c r="H41" s="9" t="inlineStr">
        <is>
          <t>Scopus</t>
        </is>
      </c>
      <c r="I41" s="8">
        <f>IF(B41="","",IF(AND(F41&lt;&gt;"",SUMPRODUCT(--ISNUMBER(SEARCH(Preseleccionados!$A$2:$A$11,F41)))&gt;0),"YA ESTÁ",IF(AND(F41&lt;&gt;"",COUNTIF($F$3:F41,F41)&gt;1),"REPETIDO","")))</f>
        <v/>
      </c>
      <c r="J41" s="8">
        <f>IF(OR(B41="",I41&lt;&gt;""),"",IF(MOD(COUNTIFS($B$3:B41,"&lt;&gt;",$I$3:I41,""),2)=1,"Carlos","Joaquín"))</f>
        <v/>
      </c>
      <c r="K41" s="11" t="inlineStr">
        <is>
          <t>Sigue</t>
        </is>
      </c>
      <c r="L41" s="11" t="inlineStr">
        <is>
          <t>Sigue</t>
        </is>
      </c>
      <c r="M41" s="11" t="n"/>
      <c r="N41" s="11" t="n"/>
      <c r="O41" s="11" t="n"/>
      <c r="P41" s="8">
        <f>IF(J41="","",IF(K41="Sale","Descartado",IF(L41="Sale","Descartado",IF(OR(M41="Q3",M41="Q4",M41="No aparece"),"Descartado",IF(N41="Sale","Descartado",IF(O41="Sigue","APROBADO","En proceso"))))))</f>
        <v/>
      </c>
      <c r="Q41" s="10" t="inlineStr">
        <is>
          <t>Department of Computer Science and Business Systems, Easwari Engineering College, Ramapuram, Tamilnadu, Chennai, India</t>
        </is>
      </c>
      <c r="R41" s="9" t="inlineStr">
        <is>
          <t>Bancos</t>
        </is>
      </c>
    </row>
    <row r="42" hidden="1" ht="60" customHeight="1">
      <c r="A42" s="8">
        <f>IF(B42="","",ROW()-2)</f>
        <v/>
      </c>
      <c r="B42" s="9" t="inlineStr">
        <is>
          <t>Banking resilience in the era of dual AI risk-adoption gap analysis and strategic implications for global AFC</t>
        </is>
      </c>
      <c r="C42" s="10" t="inlineStr">
        <is>
          <t>Trifiletti M.</t>
        </is>
      </c>
      <c r="D42" s="9" t="n">
        <v>2026</v>
      </c>
      <c r="E42" s="9" t="inlineStr">
        <is>
          <t>Journal of Risk Management in Financial Institutions</t>
        </is>
      </c>
      <c r="F42" s="9" t="inlineStr">
        <is>
          <t>10.69554/LTAS4306</t>
        </is>
      </c>
      <c r="G42" s="10" t="inlineStr">
        <is>
          <t>This paper examines how the global banking sector preserves resilience under a dual technological shock: the criminal use of generative artificial intelligence (GenAI) and agentic AI1 in money laundering, fraud, and sanctions evasion, and the slow deployment of defensive AI/ machine learning (ML) in anti-money laundering (AML)/anti-financial crime (AFC) programmes. It tests the hypothesis of a systemic ‘risk-adoption gap’ between the speed of threat evolution and the industrialisation of defensive AI. A qualitative triangulation integrates (1) the Association of Certified Anti-Money Laundering Specialists (ACAMS) Global AFC Threats Report 2025;2 (2) quantitative evidence from ‘Global AML Research: The Road to Integration’ (SAS–ACAMS–KPMG, 2024); (3) Financial Action Task Force standards on digital transformation and virtual assets; and (4) Europol and Cybercrime Trends 2025 analyses on AI-enabled cybercrime. Cross-source patterns inform policy implications. The study finds that only 18 per cent of institutions have fully operational AI/ML in AML/counter-terrorism financing, while 40 per cent lack any adoption plan, despite AI-driven threats rated high/very high. Legacy IT and data constraints and a talent gap in data/ML/explainable AI (XAI) are the main internal barriers. Asia combines high AI use with fragile infrastructures, whereas the US/Oceania show delays linked to regulation and core-system complexity. Offensively, GenAI amplifies authorised push payment and document fraud, synthetic identities and multi-channel phishing, eroding rule-based controls. Non-homogeneous data sources limit statistical generalisation but enable framing AFC 5.0 as asymmetric warfare, where AI powers both crime and defence. The paper formalises the risk-adoption gap as a driver of systemic stability, aligns AI-enabled threats, banks’ AI/ML maturity and regulation, and outlines a resilience architecture grounded in data, governance, and talent. This article is also included in The Business &amp; Management Collection which can be accessed at https://hstalks.com/ business/. © Henry Stewart Publications 1752-8895 (2026).</t>
        </is>
      </c>
      <c r="H42" s="9" t="inlineStr">
        <is>
          <t>Scopus</t>
        </is>
      </c>
      <c r="I42" s="8">
        <f>IF(B42="","",IF(AND(F42&lt;&gt;"",SUMPRODUCT(--ISNUMBER(SEARCH(Preseleccionados!$A$2:$A$11,F42)))&gt;0),"YA ESTÁ",IF(AND(F42&lt;&gt;"",COUNTIF($F$3:F42,F42)&gt;1),"REPETIDO","")))</f>
        <v/>
      </c>
      <c r="J42" s="8">
        <f>IF(OR(B42="",I42&lt;&gt;""),"",IF(MOD(COUNTIFS($B$3:B42,"&lt;&gt;",$I$3:I42,""),2)=1,"Carlos","Joaquín"))</f>
        <v/>
      </c>
      <c r="K42" s="11" t="n"/>
      <c r="L42" s="11" t="n"/>
      <c r="M42" s="11" t="n"/>
      <c r="N42" s="11" t="n"/>
      <c r="O42" s="11" t="n"/>
      <c r="P42" s="8">
        <f>IF(J42="","",IF(K42="Sale","Descartado",IF(L42="Sale","Descartado",IF(OR(M42="Q3",M42="Q4",M42="No aparece"),"Descartado",IF(N42="Sale","Descartado",IF(O42="Sigue","APROBADO","En proceso"))))))</f>
        <v/>
      </c>
      <c r="Q42" s="10" t="inlineStr">
        <is>
          <t>Department of Social Sciences, Universidad Católica de Murcia, Murcia, Spain; international financial institution, Spain</t>
        </is>
      </c>
      <c r="R42" s="9" t="inlineStr">
        <is>
          <t>Bancos</t>
        </is>
      </c>
    </row>
    <row r="43" ht="60" customHeight="1">
      <c r="A43" s="8">
        <f>IF(B43="","",ROW()-2)</f>
        <v/>
      </c>
      <c r="B43" s="9" t="inlineStr">
        <is>
          <t>The use of predictive modeling to identify relevant features for suspicious activity reporting</t>
        </is>
      </c>
      <c r="C43" s="10" t="inlineStr">
        <is>
          <t>Hayble-Gomes E.</t>
        </is>
      </c>
      <c r="D43" s="9" t="n">
        <v>2023</v>
      </c>
      <c r="E43" s="9" t="inlineStr">
        <is>
          <t>Journal of Money Laundering Control</t>
        </is>
      </c>
      <c r="F43" s="9" t="inlineStr">
        <is>
          <t>10.1108/JMLC-02-2022-0034</t>
        </is>
      </c>
      <c r="G43" s="10" t="inlineStr">
        <is>
          <t>Purpose: The purpose of this study is to explore and use artificial intelligence (AI) techniques for identifying the relevant attributes necessary to file a suspicious activity report (SAR) using historical customer transactions. This method is known as predictive modeling, a statistical approach which uses machine learning algorithm to predict outcomes by using historical data. The models are applied to a modified data set designed to mimic transactions of retail banking within the USA. Design/methodology/approach: Machine learning classifiers, as a subset of AI, are trained using transactions that meet or exceed the minimum threshold amount that could generate an alert and report a SAR to the government authorities. The predictive models are developed to use customer transactional data to predict the probability that a transaction is reportable. Findings: The performance of the machine learning classifiers is determined in terms of accuracy, misclassification, true positive rate, false positive rate and false negative rate. The decision tree model provided insight in terms of the attributes relevant for SAR filing based on the rule-based criteria of the algorithm. Originality/value: This research is part of emerging studies in the field of compliance where AI/machine learning technology is used for transaction monitoring to identify relevant attributes for suspicious activity reporting. The research methodology may be replicated by other researchers, Bank Secrecy Act/anti-money laundering (BSA/AML) officers and model validation analysts for BSA/AML compliance models. © 2022, Emerald Publishing Limited.</t>
        </is>
      </c>
      <c r="H43" s="9" t="inlineStr">
        <is>
          <t>Scopus</t>
        </is>
      </c>
      <c r="I43" s="8">
        <f>IF(B43="","",IF(AND(F43&lt;&gt;"",SUMPRODUCT(--ISNUMBER(SEARCH(Preseleccionados!$A$2:$A$11,F43)))&gt;0),"YA ESTÁ",IF(AND(F43&lt;&gt;"",COUNTIF($F$3:F43,F43)&gt;1),"REPETIDO","")))</f>
        <v/>
      </c>
      <c r="J43" s="8">
        <f>IF(OR(B43="",I43&lt;&gt;""),"",IF(MOD(COUNTIFS($B$3:B43,"&lt;&gt;",$I$3:I43,""),2)=1,"Carlos","Joaquín"))</f>
        <v/>
      </c>
      <c r="K43" s="11" t="inlineStr">
        <is>
          <t>Sigue</t>
        </is>
      </c>
      <c r="L43" s="11" t="inlineStr">
        <is>
          <t>Sigue</t>
        </is>
      </c>
      <c r="M43" s="11" t="n"/>
      <c r="N43" s="11" t="n"/>
      <c r="O43" s="11" t="n"/>
      <c r="P43" s="8">
        <f>IF(J43="","",IF(K43="Sale","Descartado",IF(L43="Sale","Descartado",IF(OR(M43="Q3",M43="Q4",M43="No aparece"),"Descartado",IF(N43="Sale","Descartado",IF(O43="Sigue","APROBADO","En proceso"))))))</f>
        <v/>
      </c>
      <c r="Q43" s="10" t="inlineStr">
        <is>
          <t>Department of Artificial Intelligence, Capitol Technology University, Laurel, MD, United States</t>
        </is>
      </c>
      <c r="R43" s="9" t="inlineStr">
        <is>
          <t>Bancos</t>
        </is>
      </c>
    </row>
    <row r="44" hidden="1" ht="60" customHeight="1">
      <c r="A44" s="8">
        <f>IF(B44="","",ROW()-2)</f>
        <v/>
      </c>
      <c r="B44" s="9" t="inlineStr">
        <is>
          <t>Research on intelligent optimization mechanisms of financial process modules through Machine Learning-enhanced collaborative systems in digital finance platforms</t>
        </is>
      </c>
      <c r="C44" s="10" t="inlineStr">
        <is>
          <t>Wang T.; Tobias G.R.</t>
        </is>
      </c>
      <c r="D44" s="9" t="n">
        <v>2025</v>
      </c>
      <c r="E44" s="9" t="inlineStr">
        <is>
          <t>Future Technology</t>
        </is>
      </c>
      <c r="F44" s="9" t="inlineStr">
        <is>
          <t>10.55670/fpll.futech.4.4.20</t>
        </is>
      </c>
      <c r="G44" s="10" t="inlineStr">
        <is>
          <t>This research addresses the critical need for intelligent optimization mechanisms in financial process modules by developing a machine learning-enhanced collaborative system designed for digital finance platforms, aiming to bridge theoretical advances in human-machine collaboration with practical applications in financial process optimization. A sophisticated multi-layered architecture integrating machine learning capabilities with human decision-making processes was developed, incorporating advanced ensemble algorithms, multi-objective optimization techniques, and adaptive learning mechanisms. The system was validated across three real-world scenarios. These included credit risk assessment using 2.26 million Lending Club records, anti-money laundering with 6.3 million FinCEN transactions, and customer service optimization with 1.8 million banking interactions. The collaborative system achieved significant improvements. Cost reduced by 28.4% and accuracy increased by 15.3% in credit risk assessment. AML efficiency improved by 256%, and AUC-ROC increased from 0.847 to 0.923. Processing time was reduced from 4.2 days to 1.8 days while maintaining regulatory compliance, resulting in a 44.8% return on investment in the first operational year. The learning collaborative approach efficiently combines human knowledge and AI, outperforming regular computerized methods as well as purely human strategies and maintaining long-term system improvement through its adaptive learning capability. This study provides practical toolkits for financial institutions to further explore AI in process optimization, aiming to achieve sustainable competitive advantages and compliance, while also ensuring operational efficiencies. © 2025, Future Publishing LLC. All rights reserved.</t>
        </is>
      </c>
      <c r="H44" s="9" t="inlineStr">
        <is>
          <t>Scopus</t>
        </is>
      </c>
      <c r="I44" s="8">
        <f>IF(B44="","",IF(AND(F44&lt;&gt;"",SUMPRODUCT(--ISNUMBER(SEARCH(Preseleccionados!$A$2:$A$11,F44)))&gt;0),"YA ESTÁ",IF(AND(F44&lt;&gt;"",COUNTIF($F$3:F44,F44)&gt;1),"REPETIDO","")))</f>
        <v/>
      </c>
      <c r="J44" s="8">
        <f>IF(OR(B44="",I44&lt;&gt;""),"",IF(MOD(COUNTIFS($B$3:B44,"&lt;&gt;",$I$3:I44,""),2)=1,"Carlos","Joaquín"))</f>
        <v/>
      </c>
      <c r="K44" s="11" t="n"/>
      <c r="L44" s="11" t="n"/>
      <c r="M44" s="11" t="n"/>
      <c r="N44" s="11" t="n"/>
      <c r="O44" s="11" t="n"/>
      <c r="P44" s="8">
        <f>IF(J44="","",IF(K44="Sale","Descartado",IF(L44="Sale","Descartado",IF(OR(M44="Q3",M44="Q4",M44="No aparece"),"Descartado",IF(N44="Sale","Descartado",IF(O44="Sigue","APROBADO","En proceso"))))))</f>
        <v/>
      </c>
      <c r="Q44" s="10" t="inlineStr">
        <is>
          <t>College of Business Administration, University of the Cordilleras, Gov. Pack Road, Baguio City, 2600, Philippines</t>
        </is>
      </c>
      <c r="R44" s="9" t="inlineStr">
        <is>
          <t>Bancos</t>
        </is>
      </c>
    </row>
    <row r="45" ht="60" customHeight="1">
      <c r="A45" s="8">
        <f>IF(B45="","",ROW()-2)</f>
        <v/>
      </c>
      <c r="B45" s="9" t="inlineStr">
        <is>
          <t>Benefits and risks of the application of artificial intelligence in central bank operations; [Возможности и риски применения искусственного интеллекта в деятельности центральных банков]</t>
        </is>
      </c>
      <c r="C45" s="10" t="inlineStr">
        <is>
          <t>Kochergin D.A.</t>
        </is>
      </c>
      <c r="D45" s="9" t="n">
        <v>2026</v>
      </c>
      <c r="E45" s="9" t="inlineStr">
        <is>
          <t>Terra Economicus</t>
        </is>
      </c>
      <c r="F45" s="9" t="inlineStr">
        <is>
          <t>10.18522/2073-6606-2026-24-2-101-116</t>
        </is>
      </c>
      <c r="G45" s="10" t="inlineStr">
        <is>
          <t>The article deals with the opportunities and risks associated with the implementation of artificial intelligence technologies in central banks. The study examines the key concepts and elements of the artificial intelligence hierarchy, identifies the most promising areas for the application of generative artificial intelligence in central bank operations, highlights the risks associated with the implementation of artificial intelligence, and proposes methods to minimize them. The study found that the main contemporary cases for artificial intelligence use in central banks involve: economic analysis and forecasting, improving the functioning of payment systems, regulation, supervision, and control over the activities of financial institutions, detection of information anomalies, and risk assessment. It has been established that the use of artificial intelligence technologies in central banking operations can enhance the effectiveness of anti-money laundering efforts, strengthen cybersecurity, and support the fulfillment of mandates related to price and financial stability. At the same time, the adoption of such technologies may create new sources of operational, reputational, and model risks, as well as risks related to data privacy, which requires the establishment of an adequate risk management system. Adapting existing risk management models to artificial intelligence projects based on a multi-layered defense approach, along with the comprehensive implementation of measures to minimize the negative consequences of artificial intelligence adoption, can facilitate its implementation across various areas of central bank operations. © Д.А. Кочергин, 2026</t>
        </is>
      </c>
      <c r="H45" s="9" t="inlineStr">
        <is>
          <t>Scopus</t>
        </is>
      </c>
      <c r="I45" s="8">
        <f>IF(B45="","",IF(AND(F45&lt;&gt;"",SUMPRODUCT(--ISNUMBER(SEARCH(Preseleccionados!$A$2:$A$11,F45)))&gt;0),"YA ESTÁ",IF(AND(F45&lt;&gt;"",COUNTIF($F$3:F45,F45)&gt;1),"REPETIDO","")))</f>
        <v/>
      </c>
      <c r="J45" s="8">
        <f>IF(OR(B45="",I45&lt;&gt;""),"",IF(MOD(COUNTIFS($B$3:B45,"&lt;&gt;",$I$3:I45,""),2)=1,"Carlos","Joaquín"))</f>
        <v/>
      </c>
      <c r="K45" s="11" t="inlineStr">
        <is>
          <t>Sale</t>
        </is>
      </c>
      <c r="L45" s="11" t="n"/>
      <c r="M45" s="11" t="n"/>
      <c r="N45" s="11" t="n"/>
      <c r="O45" s="11" t="n"/>
      <c r="P45" s="8">
        <f>IF(J45="","",IF(K45="Sale","Descartado",IF(L45="Sale","Descartado",IF(OR(M45="Q3",M45="Q4",M45="No aparece"),"Descartado",IF(N45="Sale","Descartado",IF(O45="Sigue","APROBADO","En proceso"))))))</f>
        <v/>
      </c>
      <c r="Q45" s="10" t="inlineStr">
        <is>
          <t>Institute of Economics RAS, Moscow, Russian Federation</t>
        </is>
      </c>
      <c r="R45" s="9" t="inlineStr">
        <is>
          <t>Bancos</t>
        </is>
      </c>
    </row>
    <row r="46" hidden="1" ht="60" customHeight="1">
      <c r="A46" s="8">
        <f>IF(B46="","",ROW()-2)</f>
        <v/>
      </c>
      <c r="B46" s="9" t="inlineStr">
        <is>
          <t>Detecting Hawala network for money laundering by graph mining</t>
        </is>
      </c>
      <c r="C46" s="10" t="inlineStr">
        <is>
          <t>Alenova M.; Utaliyeva A.; Li K.-J.</t>
        </is>
      </c>
      <c r="D46" s="9" t="n">
        <v>2024</v>
      </c>
      <c r="E46" s="9" t="inlineStr">
        <is>
          <t>Journal of Finance and Data Science</t>
        </is>
      </c>
      <c r="F46" s="9" t="inlineStr">
        <is>
          <t>10.1016/j.jfds.2024.100147</t>
        </is>
      </c>
      <c r="G46" s="10" t="inlineStr">
        <is>
          <t>Hawala, a traditional but informal money transfer system, has been prevalent in many parts of the world, such as money laundering. Despite the regulatory actions taken by financial institutions, Hawala is still a key node in terror financing schemes and its extent of misuse is unknown. Due to the hidden transactions and limited knowledge about the Hawala, it is difficult for legal enforcement authorities such as financial intelligence units (FIU) of each country to detect and investigate the Hawala network. In this paper, we present a novel approach to detect the potential Hawala instances in the stream of financial transaction data by using graph mining techniques. In order to reflect the properties of Hawala, we apply graph mining methods such as graph centrality, Blackhole metric, and Hidden link metric as well as anomaly detection methods using graph convolutional network. Experiments demonstrate that the proposed method gives a meaningful result in detecting Hawala network and can be used as a complementary tool to the existing transactional monitoring tracks. © 2024 The Authors</t>
        </is>
      </c>
      <c r="H46" s="9" t="inlineStr">
        <is>
          <t>Scopus</t>
        </is>
      </c>
      <c r="I46" s="8">
        <f>IF(B46="","",IF(AND(F46&lt;&gt;"",SUMPRODUCT(--ISNUMBER(SEARCH(Preseleccionados!$A$2:$A$11,F46)))&gt;0),"YA ESTÁ",IF(AND(F46&lt;&gt;"",COUNTIF($F$3:F46,F46)&gt;1),"REPETIDO","")))</f>
        <v/>
      </c>
      <c r="J46" s="8">
        <f>IF(OR(B46="",I46&lt;&gt;""),"",IF(MOD(COUNTIFS($B$3:B46,"&lt;&gt;",$I$3:I46,""),2)=1,"Carlos","Joaquín"))</f>
        <v/>
      </c>
      <c r="K46" s="11" t="n"/>
      <c r="L46" s="11" t="n"/>
      <c r="M46" s="11" t="n"/>
      <c r="N46" s="11" t="n"/>
      <c r="O46" s="11" t="n"/>
      <c r="P46" s="8">
        <f>IF(J46="","",IF(K46="Sale","Descartado",IF(L46="Sale","Descartado",IF(OR(M46="Q3",M46="Q4",M46="No aparece"),"Descartado",IF(N46="Sale","Descartado",IF(O46="Sigue","APROBADO","En proceso"))))))</f>
        <v/>
      </c>
      <c r="Q46" s="10" t="inlineStr">
        <is>
          <t>Pusan National University, Department of Computer Science and Engineering, Busan, Busan, 46241, South Korea</t>
        </is>
      </c>
      <c r="R46" s="9" t="inlineStr">
        <is>
          <t>Bancos</t>
        </is>
      </c>
    </row>
    <row r="47" ht="60" customHeight="1">
      <c r="A47" s="8">
        <f>IF(B47="","",ROW()-2)</f>
        <v/>
      </c>
      <c r="B47" s="9" t="inlineStr">
        <is>
          <t>Accounting scripts and the politics of compliance: Understanding accountants’ roles in anti-money laundering through sentiment and script theory</t>
        </is>
      </c>
      <c r="C47" s="10" t="inlineStr">
        <is>
          <t>Lokanan M.E.</t>
        </is>
      </c>
      <c r="D47" s="9" t="n">
        <v>2026</v>
      </c>
      <c r="E47" s="9" t="inlineStr">
        <is>
          <t>Journal of Economic Criminology</t>
        </is>
      </c>
      <c r="F47" s="9" t="inlineStr">
        <is>
          <t>10.1016/j.jeconc.2026.100207</t>
        </is>
      </c>
      <c r="G47" s="10" t="inlineStr">
        <is>
          <t>This study explores the role of accountants in anti-money laundering (AML) compliance within Canada's non-banking financial institutions, specifically focusing on the real estate, luxury vehicles, and gaming sectors. By utilizing a unique combination of machine learning (ML) and deep learning (DL) algorithms, along with natural language processing techniques, the research conducts sentiment analysis on the testimonies of accountants who appeared at the Cullen Commission inquiry. Supported by semi-structured interviews with key gatekeepers, this study provides a comprehensive understanding of accountants' perspectives and experiences in AML compliance. The sentiment analysis, utilizing both ML and DL models, reveals a predominance of positive sentiments among the testimonies, indicating overall satisfaction with regulatory frameworks and participation in AML initiatives. Neutral sentiments emphasize the provision of factual descriptions of procedures and regulations, while negative sentiments highlight concerns regarding the effectiveness of AML measures. Applying script theory as a cognitive framework, the study categorizes accountants' cognitive processing into three stages: preexisting schemata, assimilation, and accommodation. These stages illustrate the progression of accountants' perspectives and strategies in response to AML compliance challenges, ranging from reliance on previous experiences and beliefs to the integration of new information and adjustment to regulatory changes. The findings offer fresh insights into the field of accounting scholarship, particularly in critical accounting research. The utilization of advanced DL methods in sentiment analysis represents a methodological innovation, allowing for a deeper comprehension of accountants' roles in AML compliance. © 2026</t>
        </is>
      </c>
      <c r="H47" s="9" t="inlineStr">
        <is>
          <t>Scopus</t>
        </is>
      </c>
      <c r="I47" s="8">
        <f>IF(B47="","",IF(AND(F47&lt;&gt;"",SUMPRODUCT(--ISNUMBER(SEARCH(Preseleccionados!$A$2:$A$11,F47)))&gt;0),"YA ESTÁ",IF(AND(F47&lt;&gt;"",COUNTIF($F$3:F47,F47)&gt;1),"REPETIDO","")))</f>
        <v/>
      </c>
      <c r="J47" s="8">
        <f>IF(OR(B47="",I47&lt;&gt;""),"",IF(MOD(COUNTIFS($B$3:B47,"&lt;&gt;",$I$3:I47,""),2)=1,"Carlos","Joaquín"))</f>
        <v/>
      </c>
      <c r="K47" s="11" t="inlineStr">
        <is>
          <t>Sale</t>
        </is>
      </c>
      <c r="L47" s="11" t="n"/>
      <c r="M47" s="11" t="n"/>
      <c r="N47" s="11" t="n"/>
      <c r="O47" s="11" t="n"/>
      <c r="P47" s="8">
        <f>IF(J47="","",IF(K47="Sale","Descartado",IF(L47="Sale","Descartado",IF(OR(M47="Q3",M47="Q4",M47="No aparece"),"Descartado",IF(N47="Sale","Descartado",IF(O47="Sigue","APROBADO","En proceso"))))))</f>
        <v/>
      </c>
      <c r="Q47" s="10" t="inlineStr">
        <is>
          <t>Faculty of Management, Royal Roads University, 2005 Sooke Road, Victoria, V9B 5Y2, BC, Canada</t>
        </is>
      </c>
      <c r="R47" s="9" t="inlineStr">
        <is>
          <t>Bancos</t>
        </is>
      </c>
    </row>
    <row r="48" hidden="1" ht="60" customHeight="1">
      <c r="A48" s="8">
        <f>IF(B48="","",ROW()-2)</f>
        <v/>
      </c>
      <c r="B48" s="9" t="inlineStr">
        <is>
          <t>Anti-Money Laundering by Group-Aware Deep Graph Learning</t>
        </is>
      </c>
      <c r="C48" s="10" t="inlineStr">
        <is>
          <t>Cheng D.; Ye Y.; Xiang S.; Ma Z.; Zhang Y.; Jiang C.</t>
        </is>
      </c>
      <c r="D48" s="9" t="n">
        <v>2023</v>
      </c>
      <c r="E48" s="9" t="inlineStr">
        <is>
          <t>IEEE Transactions on Knowledge and Data Engineering</t>
        </is>
      </c>
      <c r="F48" s="9" t="inlineStr">
        <is>
          <t>10.1109/TKDE.2023.3272396</t>
        </is>
      </c>
      <c r="G48" s="10" t="inlineStr">
        <is>
          <t>Anti-money laundering (AML) is a classical data mining problem in finance applications. As well known, money laundering (ML) is critical to the effective operation of transnational and organized crime, which affects a country's economy, government, and social wellbeings. Financial services organizations facilitate the movement of money and have been enlisted by governments to assist with the detection and prevention of money laundering, which is a key tool in the fight to reduce crime and create sustainable economic development. In the application of AML, user identity and financial behavior data are widely used to detect laundering transactions. In recent years, an increasing number of money laundering activities have been conducted by organized criminal gangs while most existing works still treat the actions of each account as independent identity behavior without considering the group-level conspired interactions. Therefore, in this paper, we propose a group-aware deep graph learning-based approach for organized money-laundering detection. In particular, we design a community-centric encoder to represent the nodes and attributes in user transaction graphs and derive the adjacent gang behaviors. Then, we devise a scheme of local enhancement to accommodate nodes with similar transaction features, which are aggregated into gangs for downstream detection. Extensive experiments on the real-world dataset from one of the largest bank card alliances worldwide show that our proposed method outperforms state-of-the-art methods in both offline and online modes, showing the effectiveness of money laundering detection with group-aware deep graph learning.  © 1989-2012 IEEE.</t>
        </is>
      </c>
      <c r="H48" s="9" t="inlineStr">
        <is>
          <t>Scopus</t>
        </is>
      </c>
      <c r="I48" s="8">
        <f>IF(B48="","",IF(AND(F48&lt;&gt;"",SUMPRODUCT(--ISNUMBER(SEARCH(Preseleccionados!$A$2:$A$11,F48)))&gt;0),"YA ESTÁ",IF(AND(F48&lt;&gt;"",COUNTIF($F$3:F48,F48)&gt;1),"REPETIDO","")))</f>
        <v/>
      </c>
      <c r="J48" s="8">
        <f>IF(OR(B48="",I48&lt;&gt;""),"",IF(MOD(COUNTIFS($B$3:B48,"&lt;&gt;",$I$3:I48,""),2)=1,"Carlos","Joaquín"))</f>
        <v/>
      </c>
      <c r="K48" s="11" t="n"/>
      <c r="L48" s="11" t="n"/>
      <c r="M48" s="11" t="n"/>
      <c r="N48" s="11" t="n"/>
      <c r="O48" s="11" t="n"/>
      <c r="P48" s="8">
        <f>IF(J48="","",IF(K48="Sale","Descartado",IF(L48="Sale","Descartado",IF(OR(M48="Q3",M48="Q4",M48="No aparece"),"Descartado",IF(N48="Sale","Descartado",IF(O48="Sigue","APROBADO","En proceso"))))))</f>
        <v/>
      </c>
      <c r="Q48" s="10" t="inlineStr">
        <is>
          <t>Tongji University, Department of Computer Science and Technology, Shanghai, 201804, China; Shanghai Artificial Intelligence Laboratory, Shanghai, 200030, China; Zhejiang Gongshang University, School of Computer and Information Engineering, Hangzhou, 314423, China; University of Technology Sydney, Australian Artificial Intelligence Institute, Sydney, 2007, NSW, Australia; China UnionPay Company, Ltd., Research and Development Center of Financial Safety, Shanghai, 201201, China</t>
        </is>
      </c>
      <c r="R48" s="9" t="inlineStr">
        <is>
          <t>Bancos</t>
        </is>
      </c>
    </row>
    <row r="49" hidden="1" ht="60" customHeight="1">
      <c r="A49" s="8">
        <f>IF(B49="","",ROW()-2)</f>
        <v/>
      </c>
      <c r="B49" s="9" t="inlineStr">
        <is>
          <t>Automatic suppression of false positive alerts in anti-money laundering systems using machine learning</t>
        </is>
      </c>
      <c r="C49" s="10" t="inlineStr">
        <is>
          <t>Bakry A.N.; Alsharkawy A.S.; Farag M.S.; Raslan K.R.</t>
        </is>
      </c>
      <c r="D49" s="9" t="n">
        <v>2024</v>
      </c>
      <c r="E49" s="9" t="inlineStr">
        <is>
          <t>Journal of Supercomputing</t>
        </is>
      </c>
      <c r="F49" s="9" t="inlineStr">
        <is>
          <t>10.1007/s11227-023-05708-z</t>
        </is>
      </c>
      <c r="G49" s="10" t="inlineStr">
        <is>
          <t>Criminal activities generate an estimated $2 trillion in laundered money per year, highlighting the need for financial institutions to detect and report suspicious activity to protect their reputation. However, rule-based models commonly used for this purpose generate a high number of false positives, draining compliance team time, and increasing investigation costs. However, the application of machine learning in conjunction with rule-based models presents noteworthy implications, encompassing the potential reduction in false positives and the concomitant risk of machine learning inadvertently suppressing true positive alerts. This paper proposes a framework called automatic suppression based on XGBoost for anti-money laundering (ASXAML) to enhance detection by reducing false positives. ASXAML leverages recursive feature elimination with cross-validation for optimal feature selection. Subsequently, Optuna is employed to fine-tune hyperparameters for the XGBoost model. Results indicate that ASXAML achieves an optimal balance between reducing false positives and avoiding missed money laundering events, with an 86% F-beta score and only 11% money laundering customers were incorrectly closed out of 1926 in the test data. © The Author(s) 2023.</t>
        </is>
      </c>
      <c r="H49" s="9" t="inlineStr">
        <is>
          <t>Scopus</t>
        </is>
      </c>
      <c r="I49" s="8">
        <f>IF(B49="","",IF(AND(F49&lt;&gt;"",SUMPRODUCT(--ISNUMBER(SEARCH(Preseleccionados!$A$2:$A$11,F49)))&gt;0),"YA ESTÁ",IF(AND(F49&lt;&gt;"",COUNTIF($F$3:F49,F49)&gt;1),"REPETIDO","")))</f>
        <v/>
      </c>
      <c r="J49" s="8">
        <f>IF(OR(B49="",I49&lt;&gt;""),"",IF(MOD(COUNTIFS($B$3:B49,"&lt;&gt;",$I$3:I49,""),2)=1,"Carlos","Joaquín"))</f>
        <v/>
      </c>
      <c r="K49" s="11" t="n"/>
      <c r="L49" s="11" t="n"/>
      <c r="M49" s="11" t="n"/>
      <c r="N49" s="11" t="n"/>
      <c r="O49" s="11" t="n"/>
      <c r="P49" s="8">
        <f>IF(J49="","",IF(K49="Sale","Descartado",IF(L49="Sale","Descartado",IF(OR(M49="Q3",M49="Q4",M49="No aparece"),"Descartado",IF(N49="Sale","Descartado",IF(O49="Sigue","APROBADO","En proceso"))))))</f>
        <v/>
      </c>
      <c r="Q49" s="10" t="inlineStr">
        <is>
          <t>Department of Mathematics, Faculty of Science, Al-Azhar University, Cairo, Nasr City, Egypt</t>
        </is>
      </c>
      <c r="R49" s="9" t="inlineStr">
        <is>
          <t>Bancos</t>
        </is>
      </c>
    </row>
    <row r="50" ht="60" customHeight="1">
      <c r="A50" s="8">
        <f>IF(B50="","",ROW()-2)</f>
        <v/>
      </c>
      <c r="B50" s="9" t="inlineStr">
        <is>
          <t>Intelligent money laundering detection approaches in banking and E-wallets: a comprehensive survey</t>
        </is>
      </c>
      <c r="C50" s="10" t="inlineStr">
        <is>
          <t>Kadamathikuttiyil Karthikeyan G.; Bhowmik B.</t>
        </is>
      </c>
      <c r="D50" s="9" t="n">
        <v>2025</v>
      </c>
      <c r="E50" s="9" t="inlineStr">
        <is>
          <t>Journal of Computational Social Science</t>
        </is>
      </c>
      <c r="F50" s="9" t="inlineStr">
        <is>
          <t>10.1007/s42001-025-00421-8</t>
        </is>
      </c>
      <c r="G50" s="10" t="inlineStr">
        <is>
          <t>The rapid evolution of financial technologies (FinTech) has propelled the world into a more dynamic and sophisticated digital financial landscape. This transformation has significantly expanded financial inclusion, offering new opportunities to individuals who were previously excluded from or had limited access to traditional banking services. Financial inclusion is crucial as it provides access to a broad spectrum of financial services, including bank accounts, credit and debit facilities, and e-wallets. While the rise in digital transactions has been driven by cost efficiency, convenience, and enhanced security measures, it has also led to an increase in economic crimes, particularly money laundering, resulting in substantial global economic losses. Consequently, the need for effective strategies to combat money laundering has never been more pressing. This study thoroughly investigates the state-of-the-art techniques in money laundering detection harnessing the capabilities of artificial intelligence (AI) technologies. First, we provide an overview of economic crimes and classify their various types, setting the stage for a focused discussion on money laundering. The paper then explores the money laundering landscape, including its impact and recent trends, followed by a discussion on different prevention and detection strategies. The paper also delves into AI-driven detection strategies, particularly those targeting money laundering, including the detection of laundering activities through e-wallets. Additionally, we address the research challenges associated with money laundering detection, such as the issue of class imbalance in financial datasets, and propose solutions to overcome it. Finally, the paper provides insights into future directions for research, aiming to equip the research community with the tools necessary to formulate proactive strategies for preventing and mitigating money laundering and related economic crimes. © The Author(s), under exclusive licence to Springer Nature Singapore Pte Ltd. 2025.</t>
        </is>
      </c>
      <c r="H50" s="9" t="inlineStr">
        <is>
          <t>Scopus</t>
        </is>
      </c>
      <c r="I50" s="8">
        <f>IF(B50="","",IF(AND(F50&lt;&gt;"",SUMPRODUCT(--ISNUMBER(SEARCH(Preseleccionados!$A$2:$A$11,F50)))&gt;0),"YA ESTÁ",IF(AND(F50&lt;&gt;"",COUNTIF($F$3:F50,F50)&gt;1),"REPETIDO","")))</f>
        <v/>
      </c>
      <c r="J50" s="8">
        <f>IF(OR(B50="",I50&lt;&gt;""),"",IF(MOD(COUNTIFS($B$3:B50,"&lt;&gt;",$I$3:I50,""),2)=1,"Carlos","Joaquín"))</f>
        <v/>
      </c>
      <c r="K50" s="11" t="inlineStr">
        <is>
          <t>Sale</t>
        </is>
      </c>
      <c r="L50" s="11" t="n"/>
      <c r="M50" s="11" t="n"/>
      <c r="N50" s="11" t="n"/>
      <c r="O50" s="11" t="n"/>
      <c r="P50" s="8">
        <f>IF(J50="","",IF(K50="Sale","Descartado",IF(L50="Sale","Descartado",IF(OR(M50="Q3",M50="Q4",M50="No aparece"),"Descartado",IF(N50="Sale","Descartado",IF(O50="Sigue","APROBADO","En proceso"))))))</f>
        <v/>
      </c>
      <c r="Q50" s="10" t="inlineStr">
        <is>
          <t>Ishwarchandra Vidyasagar AIT Lab, BRICS Laboratory, Department of Computer Science Engineering, National Institute of Technology Karnataka, Surathkal, Karnataka, Mangalore, 575025, India</t>
        </is>
      </c>
      <c r="R50" s="9" t="inlineStr">
        <is>
          <t>Bancos</t>
        </is>
      </c>
    </row>
    <row r="51" hidden="1" ht="60" customHeight="1">
      <c r="A51" s="8">
        <f>IF(B51="","",ROW()-2)</f>
        <v/>
      </c>
      <c r="B51" s="9" t="inlineStr">
        <is>
          <t>Intelligent information systems of the banking sector: General characteristics and information environment</t>
        </is>
      </c>
      <c r="C51" s="10" t="inlineStr">
        <is>
          <t>Prymostka L.; Kysil T.</t>
        </is>
      </c>
      <c r="D51" s="9" t="n">
        <v>2023</v>
      </c>
      <c r="E51" s="9" t="inlineStr">
        <is>
          <t>Scientific Bulletin of Mukachevo State University. Series Economics</t>
        </is>
      </c>
      <c r="F51" s="9" t="inlineStr">
        <is>
          <t>10.52566/msu-econ4.2023.43</t>
        </is>
      </c>
      <c r="G51" s="10" t="inlineStr">
        <is>
          <t>Due to the rapid development of digitalization and information technology, the study of intelligent information systems (IIS) in the banking sector is becoming an urgent task. Intelligent information systems are able to optimize banking processes, increase security, improve the quality of customer service, mitigate risks, and optimize internal processes of financial stability management. The purpose of this study is to reveal the potential and impact of IIS on banking management processes; to study their capabilities. To achieve this goal, this study used an analytical approach, in particular, methods of information and morphological data analysis, as well as the method of generalization, which allowed the identification of key aspects, features, and properties of intelligent information systems of the banking sector, and to provide a generalized structure of their functioning by the relevant processes. This article generalizes a group of intelligent information systems of the banking sector (IISBS), their general features and properties, proposes an innovative architecture of financial management support, and identifies their advantages in comparison with existing intelligent systems. The study proves that intelligent information systems of the banking sector are endowed with hybrid data analytics provided by deep learning methods using self-learning algorithms; are able to assess possible risks and plan strategies for their resolution; recognize unauthorized entries and suspicious transactions; thanks to virtual assistants, are suitable for robotizing management processes; and visually present the results of analysing large amounts of data in real time. The research conducted in this paper shows that the introduction of intelligent information systems in the banking sector is of high practical value, as it provides interactivity and personalization for customers, online interaction, and support in solving problems through various communication channels. © The Author(s).</t>
        </is>
      </c>
      <c r="H51" s="9" t="inlineStr">
        <is>
          <t>Scopus</t>
        </is>
      </c>
      <c r="I51" s="8">
        <f>IF(B51="","",IF(AND(F51&lt;&gt;"",SUMPRODUCT(--ISNUMBER(SEARCH(Preseleccionados!$A$2:$A$11,F51)))&gt;0),"YA ESTÁ",IF(AND(F51&lt;&gt;"",COUNTIF($F$3:F51,F51)&gt;1),"REPETIDO","")))</f>
        <v/>
      </c>
      <c r="J51" s="8">
        <f>IF(OR(B51="",I51&lt;&gt;""),"",IF(MOD(COUNTIFS($B$3:B51,"&lt;&gt;",$I$3:I51,""),2)=1,"Carlos","Joaquín"))</f>
        <v/>
      </c>
      <c r="K51" s="11" t="n"/>
      <c r="L51" s="11" t="n"/>
      <c r="M51" s="11" t="n"/>
      <c r="N51" s="11" t="n"/>
      <c r="O51" s="11" t="n"/>
      <c r="P51" s="8">
        <f>IF(J51="","",IF(K51="Sale","Descartado",IF(L51="Sale","Descartado",IF(OR(M51="Q3",M51="Q4",M51="No aparece"),"Descartado",IF(N51="Sale","Descartado",IF(O51="Sigue","APROBADO","En proceso"))))))</f>
        <v/>
      </c>
      <c r="Q51" s="10" t="inlineStr">
        <is>
          <t>Kyiv National Economic University named after Vadym Hetman, 54/1 Peremohy Ave, Kyiv, 03057, Ukraine</t>
        </is>
      </c>
      <c r="R51" s="9" t="inlineStr">
        <is>
          <t>Bancos</t>
        </is>
      </c>
    </row>
    <row r="52" ht="60" customHeight="1">
      <c r="A52" s="8">
        <f>IF(B52="","",ROW()-2)</f>
        <v/>
      </c>
      <c r="B52" s="9" t="inlineStr">
        <is>
          <t>Evaluating fraud detection algorithms in a decentralized scenario</t>
        </is>
      </c>
      <c r="C52" s="10" t="inlineStr">
        <is>
          <t>Gige A.M.; Buschmann Alsbirk L.; Coscia M.</t>
        </is>
      </c>
      <c r="D52" s="9" t="n">
        <v>2026</v>
      </c>
      <c r="E52" s="9" t="inlineStr">
        <is>
          <t>Royal Society Open Science</t>
        </is>
      </c>
      <c r="F52" s="9" t="inlineStr">
        <is>
          <t>10.1098/rsos.251922</t>
        </is>
      </c>
      <c r="G52" s="10" t="inlineStr">
        <is>
          <t>Financial fraud is an umbrella term including a vast number of illegal activities. These activities involve a significant fraction of the global economy. Traditional investigation techniques are labour-intensive and cannot scale to match the size of the issue. Machine learning has provided effective tools which deliver high accuracy in identifying transactions that could be involved in fraudulent activities. In this paper, we point out that the state-of-the-art in financial fraud detection has been applied to the unrealistic scenario of an omniscient centralized global authority which has access to all bank transactions globally. We propose a more realistic evaluation scenario, one made of two steps: first, the bank flags its own transactions using exclusively information it possesses; then only flagged transactions from all banks are analysed by the governmental authority for potential prosecution. We find that, in such a realistic scenario, the effectiveness of the state-of-the-art method for financial fraud detection decreases. Moreover, we show that in this decentralized scenario, it pays off to use simpler methods than the state-of-the-art, depending on the specific objective function the system wants to ensure. © 2026 The Authors.</t>
        </is>
      </c>
      <c r="H52" s="9" t="inlineStr">
        <is>
          <t>Scopus</t>
        </is>
      </c>
      <c r="I52" s="8">
        <f>IF(B52="","",IF(AND(F52&lt;&gt;"",SUMPRODUCT(--ISNUMBER(SEARCH(Preseleccionados!$A$2:$A$11,F52)))&gt;0),"YA ESTÁ",IF(AND(F52&lt;&gt;"",COUNTIF($F$3:F52,F52)&gt;1),"REPETIDO","")))</f>
        <v/>
      </c>
      <c r="J52" s="8">
        <f>IF(OR(B52="",I52&lt;&gt;""),"",IF(MOD(COUNTIFS($B$3:B52,"&lt;&gt;",$I$3:I52,""),2)=1,"Carlos","Joaquín"))</f>
        <v/>
      </c>
      <c r="K52" s="11" t="inlineStr">
        <is>
          <t>Sigue</t>
        </is>
      </c>
      <c r="L52" s="11" t="inlineStr">
        <is>
          <t>Sigue</t>
        </is>
      </c>
      <c r="M52" s="11" t="n"/>
      <c r="N52" s="11" t="n"/>
      <c r="O52" s="11" t="n"/>
      <c r="P52" s="8">
        <f>IF(J52="","",IF(K52="Sale","Descartado",IF(L52="Sale","Descartado",IF(OR(M52="Q3",M52="Q4",M52="No aparece"),"Descartado",IF(N52="Sale","Descartado",IF(O52="Sigue","APROBADO","En proceso"))))))</f>
        <v/>
      </c>
      <c r="Q52" s="10" t="inlineStr">
        <is>
          <t>IT University of Copenhagen, Copenhagen, Denmark</t>
        </is>
      </c>
      <c r="R52" s="9" t="inlineStr">
        <is>
          <t>Bancos</t>
        </is>
      </c>
    </row>
    <row r="53" hidden="1" ht="60" customHeight="1">
      <c r="A53" s="8">
        <f>IF(B53="","",ROW()-2)</f>
        <v/>
      </c>
      <c r="B53" s="9" t="inlineStr">
        <is>
          <t>Transaction monitoring in anti-money laundering: A qualitative analysis and points of view from industry</t>
        </is>
      </c>
      <c r="C53" s="10" t="inlineStr">
        <is>
          <t>Oztas B.; Cetinkaya D.; Adedoyin F.; Budka M.; Aksu G.; Dogan H.</t>
        </is>
      </c>
      <c r="D53" s="9" t="n">
        <v>2024</v>
      </c>
      <c r="E53" s="9" t="inlineStr">
        <is>
          <t>Future Generation Computer Systems</t>
        </is>
      </c>
      <c r="F53" s="9" t="inlineStr">
        <is>
          <t>10.1016/j.future.2024.05.027</t>
        </is>
      </c>
      <c r="G53" s="10" t="inlineStr">
        <is>
          <t>Financial institutions face significant challenges in their efforts to prevent money laundering and terrorist financing due to criminals’ continuously evolving techniques and the vast volume of transactions that need to be processed. The traditional rules-based methods utilised in banks produce high false positive rates, which lead to increased costs and inefficiencies. This study identified the perspectives of 8 anti-money laundering (AML) specialists on the current state and potential improvements in transaction monitoring methods. The results provide in-depth knowledge of the problems and requirements for researchers and practitioners. Semi-structured interviews conducted with the AML experts (totalling 480 min) identified the challenges, requirements for successful implementation, and future trends in transaction monitoring. The findings reveal a growing interest in machine learning and artificial intelligence to enhance the efficiency and accuracy of current approaches. Furthermore, innovative methods such as graph analysis and anomaly detection were suggested to overcome the limitations of rule-based systems. Requirements such as explainability, flexibility, and identifying new risks were extracted and analysed. This research contributes to the existing literature by providing valuable insights from industry experts, guiding the development of advanced transaction monitoring methods, and addressing the disconnect and lack of studies between industries and academicians in the domain. © 2024 The Authors</t>
        </is>
      </c>
      <c r="H53" s="9" t="inlineStr">
        <is>
          <t>Scopus</t>
        </is>
      </c>
      <c r="I53" s="8">
        <f>IF(B53="","",IF(AND(F53&lt;&gt;"",SUMPRODUCT(--ISNUMBER(SEARCH(Preseleccionados!$A$2:$A$11,F53)))&gt;0),"YA ESTÁ",IF(AND(F53&lt;&gt;"",COUNTIF($F$3:F53,F53)&gt;1),"REPETIDO","")))</f>
        <v/>
      </c>
      <c r="J53" s="8">
        <f>IF(OR(B53="",I53&lt;&gt;""),"",IF(MOD(COUNTIFS($B$3:B53,"&lt;&gt;",$I$3:I53,""),2)=1,"Carlos","Joaquín"))</f>
        <v/>
      </c>
      <c r="K53" s="11" t="n"/>
      <c r="L53" s="11" t="n"/>
      <c r="M53" s="11" t="n"/>
      <c r="N53" s="11" t="n"/>
      <c r="O53" s="11" t="n"/>
      <c r="P53" s="8">
        <f>IF(J53="","",IF(K53="Sale","Descartado",IF(L53="Sale","Descartado",IF(OR(M53="Q3",M53="Q4",M53="No aparece"),"Descartado",IF(N53="Sale","Descartado",IF(O53="Sigue","APROBADO","En proceso"))))))</f>
        <v/>
      </c>
      <c r="Q53" s="10" t="inlineStr">
        <is>
          <t>Department of Computing and Informatics, Bournemouth University, Talbot Campus, Poole, Bournemouth, BH12 5BB, United Kingdom; Danske Bank, London, EC4N 7DT, United Kingdom</t>
        </is>
      </c>
      <c r="R53" s="9" t="inlineStr">
        <is>
          <t>Bancos</t>
        </is>
      </c>
    </row>
    <row r="54" hidden="1" ht="60" customHeight="1">
      <c r="A54" s="8">
        <f>IF(B54="","",ROW()-2)</f>
        <v/>
      </c>
      <c r="B54" s="9" t="inlineStr">
        <is>
          <t>Evaluating Risk Management Strategies Using Analytical Frameworks: Multi Method Study Across Industries in U.S.</t>
        </is>
      </c>
      <c r="C54" s="10" t="inlineStr">
        <is>
          <t>Islam M.M.; Chy K.S.; Rahman T.; Akter M.; Pranto M.R.H.</t>
        </is>
      </c>
      <c r="D54" s="9" t="n">
        <v>2025</v>
      </c>
      <c r="E54" s="9" t="inlineStr">
        <is>
          <t>Dianwang Jishu/Power System Technology</t>
        </is>
      </c>
      <c r="F54" s="9" t="inlineStr">
        <is>
          <t>10.52783/PST.2090</t>
        </is>
      </c>
      <c r="G54" s="10" t="inlineStr">
        <is>
          <t>This study addressed the critical inefficiency of siloed risk management approaches across U.S. industries, where fragmented methodologies for fraud detection (healthcare), AML monitoring (finance), and fiscal forecasting (public sector) incur annual losses exceeding $100 billion. We developed a unified analytical framework integrating machine learning (Isolation Forest, LSTM), network analysis (GNNs), and econometric modeling (ARIMA) to enable cross-sector risk interoperability. The methodology processed: (1) 500,000 anonymized Medicare claims (CMS/RADV), (2) synthetic FinCEN SARs networks emulating money laundering patterns, and (3) CBO macroeconomic indicators, evaluated through multi-criteria validation (precision-recall, MAE, PageRank centrality). Results demonstrated significant improvements over sector-specific baselines: fraud detection achieved 89.7% recall (Δ+27.4%, p&lt;0.01) with SHAP analysis revealing claim frequency and provider networks as top predictive features; AML precision increased by 32.7% through transaction graph clustering (modularity=0.83); fiscal forecast errors reduced by 29.5% via hybrid LSTM-ARIMA modeling. The framework’s interpretability was validated through three lenses: (a) clinical relevance of detected Medicare fraud patterns (OIG audit alignment), (b) AML network topology consistency with FinCEN typologies, and (c) fiscal shock responsiveness within CBO confidence intervals. Economic simulations projected $12.5B annual savings from integrated implementation (ROI 3.6:1), though legacy system integration costs varied by sector (public: +47% vs banking: +71%). The study’s scientific contribution is threefold: (1) a validated protocol for cross-domain risk variable harmonization, (2) demonstration of interpretable AI’s superiority in regulated environments (SHAP-driven false positive reduction), and (3) quantification of cyber-physical risk couplings (fraud-AML volatility r=0.52±0.03). These advancements provide policymakers with a replicable template for national risk infrastructure modernization, particularly in API standardization and adaptive control deployment. © (2025), (Power System Technology Press). All rights reserved.</t>
        </is>
      </c>
      <c r="H54" s="9" t="inlineStr">
        <is>
          <t>Scopus</t>
        </is>
      </c>
      <c r="I54" s="8">
        <f>IF(B54="","",IF(AND(F54&lt;&gt;"",SUMPRODUCT(--ISNUMBER(SEARCH(Preseleccionados!$A$2:$A$11,F54)))&gt;0),"YA ESTÁ",IF(AND(F54&lt;&gt;"",COUNTIF($F$3:F54,F54)&gt;1),"REPETIDO","")))</f>
        <v/>
      </c>
      <c r="J54" s="8">
        <f>IF(OR(B54="",I54&lt;&gt;""),"",IF(MOD(COUNTIFS($B$3:B54,"&lt;&gt;",$I$3:I54,""),2)=1,"Carlos","Joaquín"))</f>
        <v/>
      </c>
      <c r="K54" s="11" t="n"/>
      <c r="L54" s="11" t="n"/>
      <c r="M54" s="11" t="n"/>
      <c r="N54" s="11" t="n"/>
      <c r="O54" s="11" t="n"/>
      <c r="P54" s="8">
        <f>IF(J54="","",IF(K54="Sale","Descartado",IF(L54="Sale","Descartado",IF(OR(M54="Q3",M54="Q4",M54="No aparece"),"Descartado",IF(N54="Sale","Descartado",IF(O54="Sigue","APROBADO","En proceso"))))))</f>
        <v/>
      </c>
      <c r="Q54" s="10" t="inlineStr">
        <is>
          <t>College of Graduate and Professional Studies, Trine University, United States; Department: Management Information Systems, Lamar University, United States; Department, Dahlkemper School of Business, Gannon University, United States; Department: Information Technology and Project Planning Management, ST. Francis College, United States; Department:- Management, ST. Francis College, United States</t>
        </is>
      </c>
      <c r="R54" s="9" t="inlineStr">
        <is>
          <t>Bancos</t>
        </is>
      </c>
    </row>
    <row r="55" ht="60" customHeight="1">
      <c r="A55" s="8">
        <f>IF(B55="","",ROW()-2)</f>
        <v/>
      </c>
      <c r="B55" s="9" t="inlineStr">
        <is>
          <t>Machine Learning and Network Analysis for Cross‑Border Suspicious Transaction Detection: Evidence from the FinCEN Files</t>
        </is>
      </c>
      <c r="C55" s="10" t="inlineStr">
        <is>
          <t>Ejime O.M.; Kosemani A.; Onyeorueka S.I.E.</t>
        </is>
      </c>
      <c r="D55" s="9" t="n">
        <v>2026</v>
      </c>
      <c r="E55" s="9" t="inlineStr">
        <is>
          <t>IEEE Access</t>
        </is>
      </c>
      <c r="F55" s="9" t="inlineStr">
        <is>
          <t>10.1109/ACCESS.2026.3685103</t>
        </is>
      </c>
      <c r="G55" s="10" t="inlineStr">
        <is>
          <t>Traditional rule‑based anti‑money‑laundering (AML) systems raise far more alerts than humans can plausibly investigate. In the aftermath of the International Consortium of Investigative Journalists’ FinCEN Files revelations, compliance teams and regulators have begun to ask whether a data‑driven approach might allocate scarce attention more effectively. This study presents a holistic framework that combines descriptive statistics, time‑series modelling, geospatial analysis, network science and machine‑learning classification to analyse 4,507 aggregated transaction groups (more than 200,000 individual transaction records) from the FinCEN Files dataset. After cleaning and integrating the data, we explore the heavy‑tailed distribution of suspicious amounts, identify temporal spikes linked to economic crises, map cross‑border corridors between secrecy jurisdictions, quantify centrality in the bank‑to‑bank network, fit an ARIMA model to monthly volumes, and construct a risk‑scoring system. Logistic regression, Random Forest and XGBoost models are benchmarked against unsupervised isolation and one‑class support vector methods. Ensemble models achieve area‑under‑the‑ROC‑curve scores around 0.97–0.98, substantially outperforming rule‑based or unsupervised baselines. Our results demonstrate that network metrics, particularly degree and betweenness centrality—coupled with high‑risk corridor indicators are among the most important predictors of suspicious behaviour. We conclude by situating these findings within the emerging literature on graph neural networks and proposing avenues for continual learning, beneficial ownership integration and cross‑institutional transferability. Overall, the work illustrates that a judicious blend of machine learning and network analysis can reduce false positives and support risk‑based AML supervision. © 2013 IEEE.</t>
        </is>
      </c>
      <c r="H55" s="9" t="inlineStr">
        <is>
          <t>Scopus</t>
        </is>
      </c>
      <c r="I55" s="8">
        <f>IF(B55="","",IF(AND(F55&lt;&gt;"",SUMPRODUCT(--ISNUMBER(SEARCH(Preseleccionados!$A$2:$A$11,F55)))&gt;0),"YA ESTÁ",IF(AND(F55&lt;&gt;"",COUNTIF($F$3:F55,F55)&gt;1),"REPETIDO","")))</f>
        <v/>
      </c>
      <c r="J55" s="8">
        <f>IF(OR(B55="",I55&lt;&gt;""),"",IF(MOD(COUNTIFS($B$3:B55,"&lt;&gt;",$I$3:I55,""),2)=1,"Carlos","Joaquín"))</f>
        <v/>
      </c>
      <c r="K55" s="11" t="inlineStr">
        <is>
          <t>Sigue</t>
        </is>
      </c>
      <c r="L55" s="11" t="inlineStr">
        <is>
          <t>Sigue</t>
        </is>
      </c>
      <c r="M55" s="11" t="n"/>
      <c r="N55" s="11" t="n"/>
      <c r="O55" s="11" t="n"/>
      <c r="P55" s="8">
        <f>IF(J55="","",IF(K55="Sale","Descartado",IF(L55="Sale","Descartado",IF(OR(M55="Q3",M55="Q4",M55="No aparece"),"Descartado",IF(N55="Sale","Descartado",IF(O55="Sigue","APROBADO","En proceso"))))))</f>
        <v/>
      </c>
      <c r="Q55" s="10" t="inlineStr">
        <is>
          <t>University of Salford, Salford Business School, Manchester, United Kingdom; University of Salford, School of Science, Engineering and Environment, Manchester, United Kingdom</t>
        </is>
      </c>
      <c r="R55" s="9" t="inlineStr">
        <is>
          <t>Bancos</t>
        </is>
      </c>
    </row>
    <row r="56" hidden="1" ht="60" customHeight="1">
      <c r="A56" s="8">
        <f>IF(B56="","",ROW()-2)</f>
        <v/>
      </c>
      <c r="B56" s="9" t="inlineStr">
        <is>
          <t>GCF-MLD: Integrated Approach for Money Laundering Detection Using Machine Learning and Graph Network Analysis</t>
        </is>
      </c>
      <c r="C56" s="10" t="inlineStr">
        <is>
          <t>Irshad, F; Alkhalifah, T; Alturise, F; Khan, YD</t>
        </is>
      </c>
      <c r="D56" s="9" t="n">
        <v>2024</v>
      </c>
      <c r="E56" s="9" t="inlineStr">
        <is>
          <t>Ieee Access</t>
        </is>
      </c>
      <c r="F56" s="9" t="inlineStr">
        <is>
          <t>10.1109/ACCESS.2024.3510115</t>
        </is>
      </c>
      <c r="G56" s="10" t="inlineStr">
        <is>
          <t>Money laundering is a critical issue for financial institutions especially in developing countries and detecting such suspicious activities is a challenging task. The rule-based money laundering detection systems currently being used by the financial institutions rely on pre-defined rules that are often not able to keep up with rapidly changing tactics of money launderers. In this regard, machine learning based approaches have gained attention for detecting suspicious transactions related to money laundering. In this study, we propose a novel approach Graph-Clustering Fusion for Money Laundering Detection (GCF-MLD) combining graph network analysis with clustering methodology to identify suspicious accounts in real-world banking dataset. The results exhibit that the proposed model can be effectively used by the financial institutions to replace current rule-based techniques to significantly improve the efficiency and effectiveness of money laundering detection systems.</t>
        </is>
      </c>
      <c r="H56" s="9" t="inlineStr">
        <is>
          <t>Web of Science</t>
        </is>
      </c>
      <c r="I56" s="8">
        <f>IF(B56="","",IF(AND(F56&lt;&gt;"",SUMPRODUCT(--ISNUMBER(SEARCH(Preseleccionados!$A$2:$A$11,F56)))&gt;0),"YA ESTÁ",IF(AND(F56&lt;&gt;"",COUNTIF($F$3:F56,F56)&gt;1),"REPETIDO","")))</f>
        <v/>
      </c>
      <c r="J56" s="8">
        <f>IF(OR(B56="",I56&lt;&gt;""),"",IF(MOD(COUNTIFS($B$3:B56,"&lt;&gt;",$I$3:I56,""),2)=1,"Carlos","Joaquín"))</f>
        <v/>
      </c>
      <c r="K56" s="11" t="n"/>
      <c r="L56" s="11" t="n"/>
      <c r="M56" s="11" t="n"/>
      <c r="N56" s="11" t="n"/>
      <c r="O56" s="11" t="n"/>
      <c r="P56" s="8">
        <f>IF(J56="","",IF(K56="Sale","Descartado",IF(L56="Sale","Descartado",IF(OR(M56="Q3",M56="Q4",M56="No aparece"),"Descartado",IF(N56="Sale","Descartado",IF(O56="Sigue","APROBADO","En proceso"))))))</f>
        <v/>
      </c>
      <c r="Q56" s="10" t="inlineStr">
        <is>
          <t>[Irshad, Faizan; Khan, Yaser Daanial] Univ Management &amp; Technol, Sch Syst &amp; Technol, Dept Comp Sci, Lahore 54770, Pakistan; [Alkhalifah, Tamim] Qassim Univ, Coll Comp, Dept Comp Engn, Buraydah 52571, Saudi Arabia; [Alturise, Fahad] Qassim Univ, Coll Comp, Dept Cybersecur, Buraydah 52571, Saudi Arabia</t>
        </is>
      </c>
      <c r="R56" s="9" t="inlineStr">
        <is>
          <t>Bancos</t>
        </is>
      </c>
    </row>
    <row r="57" hidden="1" ht="60" customHeight="1">
      <c r="A57" s="8">
        <f>IF(B57="","",ROW()-2)</f>
        <v/>
      </c>
      <c r="B57" s="9" t="inlineStr">
        <is>
          <t>AI culture 'profiling' and anti-money laundering: Efficacy vs ethics</t>
        </is>
      </c>
      <c r="C57" s="10" t="inlineStr">
        <is>
          <t>Goodell, JW; Muckley, CB; Neelakantan, P; Ryan, D; Yu, PS</t>
        </is>
      </c>
      <c r="D57" s="9" t="n">
        <v>2025</v>
      </c>
      <c r="E57" s="9" t="inlineStr">
        <is>
          <t>International Review Of Financial Analysis</t>
        </is>
      </c>
      <c r="F57" s="9" t="inlineStr">
        <is>
          <t>10.1016/j.irfa.2025.103980</t>
        </is>
      </c>
      <c r="G57" s="10" t="inlineStr">
        <is>
          <t>Using extensive transaction and money laundering detection data, at a globally important financial institution, we investigate the efficacy of including facets of national culture in formulating anti-money laundering predictions. For corporate and individual accounts, Hofstede individualism scores of the country in which a customer is resident, or from which a wire is sent/received, are of first-order importance in the detection of money laundering. When combined with account and transaction data; as well as even a proprietary institutional algorithm, individualism scores continue to determine the models' predictive performances. The efficacy of cultural profiling in money laundering detection underscores the need for stringent and enforced data protection to prohibit its use. This will safeguard the civil right of individuals to privacy and promote financial inclusion.</t>
        </is>
      </c>
      <c r="H57" s="9" t="inlineStr">
        <is>
          <t>Web of Science</t>
        </is>
      </c>
      <c r="I57" s="8">
        <f>IF(B57="","",IF(AND(F57&lt;&gt;"",SUMPRODUCT(--ISNUMBER(SEARCH(Preseleccionados!$A$2:$A$11,F57)))&gt;0),"YA ESTÁ",IF(AND(F57&lt;&gt;"",COUNTIF($F$3:F57,F57)&gt;1),"REPETIDO","")))</f>
        <v/>
      </c>
      <c r="J57" s="8">
        <f>IF(OR(B57="",I57&lt;&gt;""),"",IF(MOD(COUNTIFS($B$3:B57,"&lt;&gt;",$I$3:I57,""),2)=1,"Carlos","Joaquín"))</f>
        <v/>
      </c>
      <c r="K57" s="11" t="n"/>
      <c r="L57" s="11" t="n"/>
      <c r="M57" s="11" t="n"/>
      <c r="N57" s="11" t="n"/>
      <c r="O57" s="11" t="n"/>
      <c r="P57" s="8">
        <f>IF(J57="","",IF(K57="Sale","Descartado",IF(L57="Sale","Descartado",IF(OR(M57="Q3",M57="Q4",M57="No aparece"),"Descartado",IF(N57="Sale","Descartado",IF(O57="Sigue","APROBADO","En proceso"))))))</f>
        <v/>
      </c>
      <c r="Q57" s="10" t="inlineStr">
        <is>
          <t>[Goodell, John W.] Univ Akron, Akron, OH 44325 USA; [Muckley, Cal B.; Yu, Pei-Shan] Univ Coll Dublin, Smurfit Grad Sch Business, Dublin, Ireland; [Muckley, Cal B.; Yu, Pei-Shan] Univ Coll Dublin, Geary Inst, Dublin, Ireland; [Neelakantan, Parvati] Indian Inst Technol Kanpur, Kanpur, India; [Ryan, Darragh] Univ Galway, Sch Nat Sci, NCLA, Phys, Galway, Ireland</t>
        </is>
      </c>
      <c r="R57" s="9" t="inlineStr">
        <is>
          <t>Bancos</t>
        </is>
      </c>
    </row>
    <row r="58" hidden="1" ht="60" customHeight="1">
      <c r="A58" s="8">
        <f>IF(B58="","",ROW()-2)</f>
        <v/>
      </c>
      <c r="B58" s="9" t="inlineStr">
        <is>
          <t>Incorporating machine learning and a risk-based strategy in an anti-money laundering multiagent system</t>
        </is>
      </c>
      <c r="C58" s="10" t="inlineStr">
        <is>
          <t>Alexandre, CR; Balsa, J</t>
        </is>
      </c>
      <c r="D58" s="9" t="n">
        <v>2023</v>
      </c>
      <c r="E58" s="9" t="inlineStr">
        <is>
          <t>Expert Systems With Applications</t>
        </is>
      </c>
      <c r="F58" s="9" t="inlineStr">
        <is>
          <t>10.1016/j.eswa.2023.119500</t>
        </is>
      </c>
      <c r="G58" s="10" t="inlineStr">
        <is>
          <t>Over the last decade, the international community has become more aware of the danger and harm caused by the practice of the crime of Money Laundering (ML). Organizations to combat this crime were created and the existing laws were expanded and tightened. Complex legislation, combined with the increase in the volume of financial transactions involved in money laundering schemes, motivated research targeting the improvement and automation of the critical processes of detecting, signaling and communicating suspicious clients. The Anti-Money Laundering (AML) activity is strongly impacted and dependent on this process, which has evolved slowly, in part due to its subjectivity and complexity. This article presents the characteristics of a multiagent system that incorporates machine learning and risk components to identify and flag suspicious bank clients. It also seeks to help human specialists in the analysis of suspicious behavior by these clients. The knowledge bases are obtained through data mining over a real database, obtaining for each client a transactional behavior pattern, enriched with specific rules based on legal aspects, and on the expertise of the AML analysts of the financial institution that funds this research. The adopted risk strategy seeks to identify and classify the ML risk level of each flagged client. To evaluate its results, the system analyzed six months of actual transactions. A set of candidate clients was produced and subsequently investigated by the financial institution's AML analysts, who proved a high degree of correctness in the indicated suspicions, including cases that were not flagged by the antecedent systems in execution for decades at the institution.</t>
        </is>
      </c>
      <c r="H58" s="9" t="inlineStr">
        <is>
          <t>Web of Science</t>
        </is>
      </c>
      <c r="I58" s="8">
        <f>IF(B58="","",IF(AND(F58&lt;&gt;"",SUMPRODUCT(--ISNUMBER(SEARCH(Preseleccionados!$A$2:$A$11,F58)))&gt;0),"YA ESTÁ",IF(AND(F58&lt;&gt;"",COUNTIF($F$3:F58,F58)&gt;1),"REPETIDO","")))</f>
        <v/>
      </c>
      <c r="J58" s="8">
        <f>IF(OR(B58="",I58&lt;&gt;""),"",IF(MOD(COUNTIFS($B$3:B58,"&lt;&gt;",$I$3:I58,""),2)=1,"Carlos","Joaquín"))</f>
        <v/>
      </c>
      <c r="K58" s="11" t="n"/>
      <c r="L58" s="11" t="n"/>
      <c r="M58" s="11" t="n"/>
      <c r="N58" s="11" t="n"/>
      <c r="O58" s="11" t="n"/>
      <c r="P58" s="8">
        <f>IF(J58="","",IF(K58="Sale","Descartado",IF(L58="Sale","Descartado",IF(OR(M58="Q3",M58="Q4",M58="No aparece"),"Descartado",IF(N58="Sale","Descartado",IF(O58="Sigue","APROBADO","En proceso"))))))</f>
        <v/>
      </c>
      <c r="Q58" s="10" t="inlineStr">
        <is>
          <t>[Alexandre, Claudio Reginaldo; Balsa, Joao] Univ Lisbon, Fac Ciencias, LASIGE, Edificio C6,Campo Grande, P-1749016 Lisbon, Portugal</t>
        </is>
      </c>
      <c r="R58" s="9" t="inlineStr">
        <is>
          <t>Bancos</t>
        </is>
      </c>
    </row>
    <row r="59" hidden="1" ht="60" customHeight="1">
      <c r="A59" s="8">
        <f>IF(B59="","",ROW()-2)</f>
        <v/>
      </c>
      <c r="B59" s="9" t="inlineStr">
        <is>
          <t>Leveraging artificial intelligence for enhanced anti-money laundering in financial institutions</t>
        </is>
      </c>
      <c r="C59" s="10" t="inlineStr">
        <is>
          <t>Premkumar, A; Vidyavathi, K; Sowmya, VL; Alfurhood, BS; Irudayasamy, A; Natarajan, R</t>
        </is>
      </c>
      <c r="D59" s="9" t="n">
        <v>2026</v>
      </c>
      <c r="E59" s="9" t="inlineStr">
        <is>
          <t>Discover Computing</t>
        </is>
      </c>
      <c r="F59" s="9" t="inlineStr">
        <is>
          <t>10.1007/s10791-026-10142-9</t>
        </is>
      </c>
      <c r="G59" s="10" t="inlineStr">
        <is>
          <t>Financial institutions continue to face a significant challenge with money laundering and need intelligent, scalable ways to detect illegal financial activity. This paper introduces a machine learning-driven platform for detecting suspicious financial activities in transactional data with a fixed schema, enriched with temporal, behavioral, and financial profile features. Extensive experiments were performed with several popular supervised learning algorithms, including Logistic regression, Decision tree, Random Forest, Gradient Boosting, AdaBoost, K-Nearest Neighbour (KNN), Support vector machine, and Na &amp; iuml;ve Bayes. The Gradient Boosting classifier performed best overall, achieving an Accuracy of 90.59%, a precision of 90.61%, a recall of 90.59%, and an F1-score of 90.60 in balanced detection, with the highest reliability for detecting suspicious financial transactions. It showed better generalization and robust classification performance than the other models, especially in real anti-money laundering problems, where it performed excellently. These results demonstrate that recent artificial intelligence could fortify anti-money laundering systems by automating and improving the detection of high-risk financial activity. The framework provides a scalable and feasible approach to ensure compliance, manage risk, and secure finances for larger organizations.</t>
        </is>
      </c>
      <c r="H59" s="9" t="inlineStr">
        <is>
          <t>Web of Science</t>
        </is>
      </c>
      <c r="I59" s="8">
        <f>IF(B59="","",IF(AND(F59&lt;&gt;"",SUMPRODUCT(--ISNUMBER(SEARCH(Preseleccionados!$A$2:$A$11,F59)))&gt;0),"YA ESTÁ",IF(AND(F59&lt;&gt;"",COUNTIF($F$3:F59,F59)&gt;1),"REPETIDO","")))</f>
        <v/>
      </c>
      <c r="J59" s="8">
        <f>IF(OR(B59="",I59&lt;&gt;""),"",IF(MOD(COUNTIFS($B$3:B59,"&lt;&gt;",$I$3:I59,""),2)=1,"Carlos","Joaquín"))</f>
        <v/>
      </c>
      <c r="K59" s="11" t="n"/>
      <c r="L59" s="11" t="n"/>
      <c r="M59" s="11" t="n"/>
      <c r="N59" s="11" t="n"/>
      <c r="O59" s="11" t="n"/>
      <c r="P59" s="8">
        <f>IF(J59="","",IF(K59="Sale","Descartado",IF(L59="Sale","Descartado",IF(OR(M59="Q3",M59="Q4",M59="No aparece"),"Descartado",IF(N59="Sale","Descartado",IF(O59="Sigue","APROBADO","En proceso"))))))</f>
        <v/>
      </c>
      <c r="Q59" s="10" t="inlineStr">
        <is>
          <t>[Premkumar, Anitha] Manipal Acad Higher Educ, Manipal Inst Technol Bengaluru, Manipal, India; [Vidyavathi, K.] Selvam Coll Technol, Elect &amp; Commun Engn Dept, Salem Rd NH44, Namakkal 637003, Tamil Nadu, India; [Sowmya, V. L.] BMS Inst Technol &amp; Management, Dept Artificial Intelligence &amp; Machine Learning, Bengaluru 560119, India; [Alfurhood, Badria Sulaiman] Princess Nourah bint Abdulrahman Univ, Coll Comp &amp; Informat Sci, Dept Comp Sci, POB 84428, Riyadh 11671, Saudi Arabia; [Irudayasamy, Amalraj] Univ Technol &amp; Appl Sci, Coll Comp &amp; Informat Sci, Dept Comp &amp; Informat Sci, Nizwa 611, Oman; [Natarajan, Rajesh] Univ Technol &amp; Appl Sci, Coll Comp &amp; Informat Sci, Dept Comp &amp; Informat Sci, AI Aqr 324, Shinas, Oman</t>
        </is>
      </c>
      <c r="R59" s="9" t="inlineStr">
        <is>
          <t>Bancos</t>
        </is>
      </c>
    </row>
    <row r="60" hidden="1" ht="60" customHeight="1">
      <c r="A60" s="8">
        <f>IF(B60="","",ROW()-2)</f>
        <v/>
      </c>
      <c r="B60" s="9" t="inlineStr">
        <is>
          <t>Transaction monitoring in anti-money laundering: A qualitative analysis and points of view from industry</t>
        </is>
      </c>
      <c r="C60" s="10" t="inlineStr">
        <is>
          <t>Oztas, B; Cetinkaya, D; Adedoyin, F; Budka, M; Aksu, G; Dogan, H</t>
        </is>
      </c>
      <c r="D60" s="9" t="n">
        <v>2024</v>
      </c>
      <c r="E60" s="9" t="inlineStr">
        <is>
          <t>Future Generation Computer Systems-The International Journal Of Escience</t>
        </is>
      </c>
      <c r="F60" s="9" t="inlineStr">
        <is>
          <t>10.1016/j.future.2024.05.027</t>
        </is>
      </c>
      <c r="G60" s="10" t="inlineStr">
        <is>
          <t>Financial institutions face significant challenges in their efforts to prevent money laundering and terrorist financing due to criminals' continuously evolving techniques and the vast volume of transactions that need to be processed. The traditional rules-based methods utilised in banks produce high false positive rates, which lead to increased costs and inefficiencies. This study identified the perspectives of 8 anti-money laundering (AML) specialists on the current state and potential improvements in transaction monitoring methods. The results provide in-depth knowledge of the problems and requirements for researchers and practitioners. Semi-structured interviews conducted with the AML experts (totalling 480 min) identified the challenges, requirements for successful implementation, and future trends in transaction monitoring. The findings reveal a growing interest in machine learning and artificial intelligence to enhance the efficiency and accuracy of current approaches. Furthermore, innovative methods such as graph analysis and anomaly detection were suggested to overcome the limitations of rule-based systems. Requirements such as explainability, flexibility, and identifying new risks were extracted and analysed. This research contributes to the existing literature by providing valuable insights from industry experts, guiding the development of advanced transaction monitoring methods, and addressing the disconnect and lack of studies between industries and academicians in the domain.</t>
        </is>
      </c>
      <c r="H60" s="9" t="inlineStr">
        <is>
          <t>Web of Science</t>
        </is>
      </c>
      <c r="I60" s="8">
        <f>IF(B60="","",IF(AND(F60&lt;&gt;"",SUMPRODUCT(--ISNUMBER(SEARCH(Preseleccionados!$A$2:$A$11,F60)))&gt;0),"YA ESTÁ",IF(AND(F60&lt;&gt;"",COUNTIF($F$3:F60,F60)&gt;1),"REPETIDO","")))</f>
        <v/>
      </c>
      <c r="J60" s="8">
        <f>IF(OR(B60="",I60&lt;&gt;""),"",IF(MOD(COUNTIFS($B$3:B60,"&lt;&gt;",$I$3:I60,""),2)=1,"Carlos","Joaquín"))</f>
        <v/>
      </c>
      <c r="K60" s="11" t="n"/>
      <c r="L60" s="11" t="n"/>
      <c r="M60" s="11" t="n"/>
      <c r="N60" s="11" t="n"/>
      <c r="O60" s="11" t="n"/>
      <c r="P60" s="8">
        <f>IF(J60="","",IF(K60="Sale","Descartado",IF(L60="Sale","Descartado",IF(OR(M60="Q3",M60="Q4",M60="No aparece"),"Descartado",IF(N60="Sale","Descartado",IF(O60="Sigue","APROBADO","En proceso"))))))</f>
        <v/>
      </c>
      <c r="Q60" s="10" t="inlineStr">
        <is>
          <t>[Oztas, Berkan; Cetinkaya, Deniz; Adedoyin, Festus; Budka, Marcin; Dogan, Huseyin] Bournemouth Univ, Dept Comp &amp; Informat, Talbot Campus, Bournemouth BH12 5BB, England; [Aksu, Gokhan] Danske Bank, London EC4N 7DT, England</t>
        </is>
      </c>
      <c r="R60" s="9" t="inlineStr">
        <is>
          <t>Bancos</t>
        </is>
      </c>
    </row>
    <row r="61" hidden="1" ht="60" customHeight="1">
      <c r="A61" s="8">
        <f>IF(B61="","",ROW()-2)</f>
        <v/>
      </c>
      <c r="B61" s="9" t="inlineStr">
        <is>
          <t>Automatic suppression of false positive alerts in anti-money laundering systems using machine learning</t>
        </is>
      </c>
      <c r="C61" s="10" t="inlineStr">
        <is>
          <t>Bakry, AN; Alsharkawy, AS; Farag, MS; Raslan, KR</t>
        </is>
      </c>
      <c r="D61" s="9" t="n">
        <v>2024</v>
      </c>
      <c r="E61" s="9" t="inlineStr">
        <is>
          <t>Journal Of Supercomputing</t>
        </is>
      </c>
      <c r="F61" s="9" t="inlineStr">
        <is>
          <t>10.1007/s11227-023-05708-z</t>
        </is>
      </c>
      <c r="G61" s="10" t="inlineStr">
        <is>
          <t>Criminal activities generate an estimated $2 trillion in laundered money per year, highlighting the need for financial institutions to detect and report suspicious activity to protect their reputation. However, rule-based models commonly used for this purpose generate a high number of false positives, draining compliance team time, and increasing investigation costs. However, the application of machine learning in conjunction with rule-based models presents noteworthy implications, encompassing the potential reduction in false positives and the concomitant risk of machine learning inadvertently suppressing true positive alerts. This paper proposes a framework called automatic suppression based on XGBoost for anti-money laundering (ASXAML) to enhance detection by reducing false positives. ASXAML leverages recursive feature elimination with cross-validation for optimal feature selection. Subsequently, Optuna is employed to fine-tune hyperparameters for the XGBoost model. Results indicate that ASXAML achieves an optimal balance between reducing false positives and avoiding missed money laundering events, with an 86% F-beta score and only 11% money laundering customers were incorrectly closed out of 1926 in the test data.</t>
        </is>
      </c>
      <c r="H61" s="9" t="inlineStr">
        <is>
          <t>Web of Science</t>
        </is>
      </c>
      <c r="I61" s="8">
        <f>IF(B61="","",IF(AND(F61&lt;&gt;"",SUMPRODUCT(--ISNUMBER(SEARCH(Preseleccionados!$A$2:$A$11,F61)))&gt;0),"YA ESTÁ",IF(AND(F61&lt;&gt;"",COUNTIF($F$3:F61,F61)&gt;1),"REPETIDO","")))</f>
        <v/>
      </c>
      <c r="J61" s="8">
        <f>IF(OR(B61="",I61&lt;&gt;""),"",IF(MOD(COUNTIFS($B$3:B61,"&lt;&gt;",$I$3:I61,""),2)=1,"Carlos","Joaquín"))</f>
        <v/>
      </c>
      <c r="K61" s="11" t="n"/>
      <c r="L61" s="11" t="n"/>
      <c r="M61" s="11" t="n"/>
      <c r="N61" s="11" t="n"/>
      <c r="O61" s="11" t="n"/>
      <c r="P61" s="8">
        <f>IF(J61="","",IF(K61="Sale","Descartado",IF(L61="Sale","Descartado",IF(OR(M61="Q3",M61="Q4",M61="No aparece"),"Descartado",IF(N61="Sale","Descartado",IF(O61="Sigue","APROBADO","En proceso"))))))</f>
        <v/>
      </c>
      <c r="Q61" s="10" t="inlineStr">
        <is>
          <t>[Bakry, Ahmed N.; Alsharkawy, Almohammady S.; Farag, Mohamed S.; Raslan, K. R.] Al Azhar Univ, Fac Sci, Dept Math, Nasr City, Cairo, Egypt</t>
        </is>
      </c>
      <c r="R61" s="9" t="inlineStr">
        <is>
          <t>Bancos</t>
        </is>
      </c>
    </row>
    <row r="62" hidden="1" ht="60" customHeight="1">
      <c r="A62" s="8">
        <f>IF(B62="","",ROW()-2)</f>
        <v/>
      </c>
      <c r="B62" s="9" t="inlineStr">
        <is>
          <t>Detection of abnormal transaction using spatial ontology-based deep learning approach</t>
        </is>
      </c>
      <c r="C62" s="10" t="inlineStr">
        <is>
          <t>Sambandam, P</t>
        </is>
      </c>
      <c r="D62" s="9" t="n">
        <v>2025</v>
      </c>
      <c r="E62" s="9" t="inlineStr">
        <is>
          <t>Knowledge And Information Systems</t>
        </is>
      </c>
      <c r="F62" s="9" t="inlineStr">
        <is>
          <t>10.1007/s10115-025-02579-z</t>
        </is>
      </c>
      <c r="G62" s="10" t="inlineStr">
        <is>
          <t>Spatial ontology is one of the significant techniques for detecting suspicious transactions in financial institutions. This work proposes an expert system via spatial ontology-based Deep learning for effectively detecting abnormal transactions. The proposed methodology has the stages like pre-processing, construction of ontology and transaction detection. The initial step is pre-processing, during which specific data items are converted into ontology format and noisy data is eliminated. Next, a set of semantic web rule languages and a knowledge base are incorporated into the construction of ontology. New knowledge is gathered from the predefined rules using native reasoning to assist in ontology about every transaction. The proposed method uses a stacked autoencoder (SAE), a deep learning technique, to classify normal and abnormal transactions, and it is trained on the deduced knowledge base. After the classification process, the abnormal transaction list is provided to the query inferred to obtain different information from that list. The experimental analysis is carried out on the two benchmark datasets, synthetic financial and credit card datasets, and compared with the existing approaches. The accuracy obtained by the proposed model for synthetic financial and credit card datasets is 93% and 96.23%, respectively. The experimental results showed that the proposed system performed better than the state-of-the-art approaches.</t>
        </is>
      </c>
      <c r="H62" s="9" t="inlineStr">
        <is>
          <t>Web of Science</t>
        </is>
      </c>
      <c r="I62" s="8">
        <f>IF(B62="","",IF(AND(F62&lt;&gt;"",SUMPRODUCT(--ISNUMBER(SEARCH(Preseleccionados!$A$2:$A$11,F62)))&gt;0),"YA ESTÁ",IF(AND(F62&lt;&gt;"",COUNTIF($F$3:F62,F62)&gt;1),"REPETIDO","")))</f>
        <v/>
      </c>
      <c r="J62" s="8">
        <f>IF(OR(B62="",I62&lt;&gt;""),"",IF(MOD(COUNTIFS($B$3:B62,"&lt;&gt;",$I$3:I62,""),2)=1,"Carlos","Joaquín"))</f>
        <v/>
      </c>
      <c r="K62" s="11" t="n"/>
      <c r="L62" s="11" t="n"/>
      <c r="M62" s="11" t="n"/>
      <c r="N62" s="11" t="n"/>
      <c r="O62" s="11" t="n"/>
      <c r="P62" s="8">
        <f>IF(J62="","",IF(K62="Sale","Descartado",IF(L62="Sale","Descartado",IF(OR(M62="Q3",M62="Q4",M62="No aparece"),"Descartado",IF(N62="Sale","Descartado",IF(O62="Sigue","APROBADO","En proceso"))))))</f>
        <v/>
      </c>
      <c r="Q62" s="10" t="inlineStr">
        <is>
          <t>[Sambandam, Palaniappan] Easwari Engn Coll, Dept Comp Sci &amp; Business Syst, Chennai, Tamil Nadu, India</t>
        </is>
      </c>
      <c r="R62" s="9" t="inlineStr">
        <is>
          <t>Bancos</t>
        </is>
      </c>
    </row>
    <row r="63" hidden="1" ht="60" customHeight="1">
      <c r="A63" s="8">
        <f>IF(B63="","",ROW()-2)</f>
        <v/>
      </c>
      <c r="B63" s="9" t="inlineStr">
        <is>
          <t>Fund transfer fraud detection: Analyzing irregular transactions and customer with self-attention and neural networks</t>
        </is>
      </c>
      <c r="C63" s="10" t="inlineStr">
        <is>
          <t>Shih, YC; Dai, TS; Chen, YP; Ti, YW; Wang, WH; Kuo, Y</t>
        </is>
      </c>
      <c r="D63" s="9" t="n">
        <v>2025</v>
      </c>
      <c r="E63" s="9" t="inlineStr">
        <is>
          <t>Expert Systems With Applications</t>
        </is>
      </c>
      <c r="F63" s="9" t="inlineStr">
        <is>
          <t>10.1016/j.eswa.2024.125211</t>
        </is>
      </c>
      <c r="G63" s="10" t="inlineStr">
        <is>
          <t>This paper presents a method for identifying fraudulent fund transfers using real bank data, analyzing customer information, transactional activities, and customer relationships. The preprocessing step transforms high- dimensional, irregular transaction time series into regular time series, then further compresses them in a latent space using a self-attention-based autoencoder. To address the scarcity of fraudulent data samples and mitigate training issues caused by data imbalance, various deep generative models, including the conditional variational autoencoder and Wasserstein generative adversarial network, are applied to generate additional fraudulent raw data and augment fraud samples in latent space. The reparameterization trick is integrated into the encoder-decoder structure to boost the model's generative capabilities. Additionally, a Graph Neural Network (GNN) is used to model customer relationships. The proposed approach utilizes end-to-end learning, integrating the autoencoder's reconstruction loss, KL divergence loss (when reparameterization trick is applied), and classification loss for fraud detection. To optimize computational resources, neighborhood sampling for GNN is combined with mini-batch training for the autoencoder, improving both training efficiency and model reliability. Comprehensive experiments demonstrate the effectiveness of the proposed fusion network, highlighting the importance of each component and preprocessing step. For example, the areas under the precision-recall curves for fraud detection show notable improvements in our model. For suspicious transactions identified by the bank's rules, other models range from 0.66% to 22.15%, while our model reached 27%. For non-suspicious transactions, other models range from 2.53% to 22.00%, with our model achieving 22.90%. This model has potential for wider applications in anomaly detection, particularly in datasets with irregular time series and complex customer relationships.</t>
        </is>
      </c>
      <c r="H63" s="9" t="inlineStr">
        <is>
          <t>Web of Science</t>
        </is>
      </c>
      <c r="I63" s="8">
        <f>IF(B63="","",IF(AND(F63&lt;&gt;"",SUMPRODUCT(--ISNUMBER(SEARCH(Preseleccionados!$A$2:$A$11,F63)))&gt;0),"YA ESTÁ",IF(AND(F63&lt;&gt;"",COUNTIF($F$3:F63,F63)&gt;1),"REPETIDO","")))</f>
        <v/>
      </c>
      <c r="J63" s="8">
        <f>IF(OR(B63="",I63&lt;&gt;""),"",IF(MOD(COUNTIFS($B$3:B63,"&lt;&gt;",$I$3:I63,""),2)=1,"Carlos","Joaquín"))</f>
        <v/>
      </c>
      <c r="K63" s="11" t="n"/>
      <c r="L63" s="11" t="n"/>
      <c r="M63" s="11" t="n"/>
      <c r="N63" s="11" t="n"/>
      <c r="O63" s="11" t="n"/>
      <c r="P63" s="8">
        <f>IF(J63="","",IF(K63="Sale","Descartado",IF(L63="Sale","Descartado",IF(OR(M63="Q3",M63="Q4",M63="No aparece"),"Descartado",IF(N63="Sale","Descartado",IF(O63="Sigue","APROBADO","En proceso"))))))</f>
        <v/>
      </c>
      <c r="Q63" s="10" t="inlineStr">
        <is>
          <t>[Shih, Yi-Cheng; Chen, Ying-Ping; Kuo, Yun] Yang Ming Chiao Tung Univ, Dept Comp Sci, 1001 Daxue Rd, Hsinchu 300093, Taiwan; [Dai, Tian-Shyr; Wang, Wun-Hao] Yang Ming Chiao Tung Univ, Dept Informat Management &amp; Finance, 1001 Daxue Rd, Hsinchu 300093, Taiwan; [Dai, Tian-Shyr] Natl Chengchi Univ, Risk &amp; Insurance Res Ctr, 64,Sec 2,Zhi Nan Rd, Taipei 11605, Taiwan; [Ti, Yen-Wu] Xiamen Ocean Vocat Coll, Sch Informat Engn, 61 Tiyu Rd, Xiamen 361012, Fujian, Peoples R China</t>
        </is>
      </c>
      <c r="R63" s="9" t="inlineStr">
        <is>
          <t>Bancos</t>
        </is>
      </c>
    </row>
    <row r="64" hidden="1" ht="60" customHeight="1">
      <c r="A64" s="8">
        <f>IF(B64="","",ROW()-2)</f>
        <v/>
      </c>
      <c r="B64" s="9" t="inlineStr">
        <is>
          <t>Explainable artificial intelligence models for detecting suspicious bank transactions</t>
        </is>
      </c>
      <c r="C64" s="10" t="inlineStr">
        <is>
          <t>Narasapuram, NK; Shah, SAA; Shiratuddin, MF; Sohel, F</t>
        </is>
      </c>
      <c r="D64" s="9" t="n">
        <v>2026</v>
      </c>
      <c r="E64" s="9" t="inlineStr">
        <is>
          <t>International Journal Of Machine Learning And Cybernetics</t>
        </is>
      </c>
      <c r="F64" s="9" t="inlineStr">
        <is>
          <t>10.1007/s13042-026-02994-w</t>
        </is>
      </c>
      <c r="G64" s="10" t="inlineStr">
        <is>
          <t>Detecting financial crime is a complex challenge due to evolving criminal strategies and fragmented detection systems, particularly in the areas of money laundering and fraud. While it is easy to implement, traditional rule-based approaches lack adaptability to new threats, and machine learning models, though more effective, often function as opaque black boxes, limiting their practical use in regulated domains like banking, where interpretability and accountability are essential. This research presents a novel framework that combines intrinsic and post-hoc XAI techniques to detect suspicious bank transactions. Intrinsic methods provide model-inherent transparency, while post-hoc methods offer behavior-level explanations, enabling robust cross-verification of the model's decision logic. This dual-layered explainability supports both global understanding of the model and local interpretability for individual predictions. Experimental evaluation on synthetic datasets shows that the proposed framework achieves promising results, with F1 scores ranging from 0.54 to 0.63 for anti-money laundering (AML) detection and 0.66 to 0.78 for fraud detection, depending on the underlying model architecture. The use of explainability tools also enables the identification of key features shared across fraud and AML cases, revealing structural similarities. These insights demonstrate that a unified model can effectively capture both crime types, offering practical benefits for integrated financial crime risk management. By addressing the information silos caused by different regulatory frameworks and departmental responsibilities, this work supports the development of joint investigative systems and facilitates better communication between compliance teams. In addition, the explainable nature of the models helps satisfy regulatory scrutiny while improving investigator trust and decision support. The proposed approach contributes to the growing field of interpretable machine learning by providing a scalable, auditable, and regulator-friendly solution for detecting complex financial crimes.</t>
        </is>
      </c>
      <c r="H64" s="9" t="inlineStr">
        <is>
          <t>Web of Science</t>
        </is>
      </c>
      <c r="I64" s="8">
        <f>IF(B64="","",IF(AND(F64&lt;&gt;"",SUMPRODUCT(--ISNUMBER(SEARCH(Preseleccionados!$A$2:$A$11,F64)))&gt;0),"YA ESTÁ",IF(AND(F64&lt;&gt;"",COUNTIF($F$3:F64,F64)&gt;1),"REPETIDO","")))</f>
        <v/>
      </c>
      <c r="J64" s="8">
        <f>IF(OR(B64="",I64&lt;&gt;""),"",IF(MOD(COUNTIFS($B$3:B64,"&lt;&gt;",$I$3:I64,""),2)=1,"Carlos","Joaquín"))</f>
        <v/>
      </c>
      <c r="K64" s="11" t="n"/>
      <c r="L64" s="11" t="n"/>
      <c r="M64" s="11" t="n"/>
      <c r="N64" s="11" t="n"/>
      <c r="O64" s="11" t="n"/>
      <c r="P64" s="8">
        <f>IF(J64="","",IF(K64="Sale","Descartado",IF(L64="Sale","Descartado",IF(OR(M64="Q3",M64="Q4",M64="No aparece"),"Descartado",IF(N64="Sale","Descartado",IF(O64="Sigue","APROBADO","En proceso"))))))</f>
        <v/>
      </c>
      <c r="Q64" s="10" t="inlineStr">
        <is>
          <t>[Narasapuram, Narasimha Kumar; Shiratuddin, Mohd Fairuz; Sohel, Ferdous] Murdoch Univ, Sch Informat Technol, 90 South St, Murdoch, WA 6150, Australia; [Shah, Syed Afaq Ali] Edith Cowan Univ, Sch Sci, Perth, WA, Australia</t>
        </is>
      </c>
      <c r="R64" s="9" t="inlineStr">
        <is>
          <t>Bancos</t>
        </is>
      </c>
    </row>
    <row r="65" hidden="1" ht="60" customHeight="1">
      <c r="A65" s="8">
        <f>IF(B65="","",ROW()-2)</f>
        <v/>
      </c>
      <c r="B65" s="9" t="inlineStr">
        <is>
          <t>Machine Learning and Network Analysis for Cross-Border Suspicious Transaction Detection: Evidence From the FinCEN Files</t>
        </is>
      </c>
      <c r="C65" s="10" t="inlineStr">
        <is>
          <t>Ejime, OM; Kosemani, A; Onyeorueka, SIE</t>
        </is>
      </c>
      <c r="D65" s="9" t="n">
        <v>2026</v>
      </c>
      <c r="E65" s="9" t="inlineStr">
        <is>
          <t>Ieee Access</t>
        </is>
      </c>
      <c r="F65" s="9" t="inlineStr">
        <is>
          <t>10.1109/ACCESS.2026.3685103</t>
        </is>
      </c>
      <c r="G65" s="10" t="inlineStr">
        <is>
          <t>Traditional rule-based anti-money-laundering (AML) systems raise far more alerts than humans can plausibly investigate. In the aftermath of the International Consortium of Investigative Journalists' FinCEN Files revelations, compliance teams and regulators have begun to ask whether a data-driven approach might allocate scarce attention more effectively. This study presents a holistic framework that combines descriptive statistics, time-series modelling, geospatial analysis, network science and machine-learning classification to analyse 4,507 aggregated transaction groups (more than 200,000 individual transaction records) from the FinCEN Files dataset. After cleaning and integrating the data, we explore the heavy-tailed distribution of suspicious amounts, identify temporal spikes linked to economic crises, map cross-border corridors between secrecy jurisdictions, quantify centrality in the bank-to-bank network, fit an ARIMA model to monthly volumes, and construct a risk-scoring system. Logistic regression, Random Forest and XGBoost models are benchmarked against unsupervised isolation and one-class support vector methods. Ensemble models achieve area-under-the-ROC-curve scores around 0.97-0.98, substantially outperforming rule-based or unsupervised baselines. Our results demonstrate that network metrics, particularly degree and betweenness centrality, and high-risk corridor indicators, are among the most important predictors of suspicious behaviour. We conclude by situating these findings within the emerging literature on graph neural networks and proposing avenues for continual learning, beneficial ownership integration and cross-institutional transferability. Overall, the work illustrates that a judicious blend of machine learning and network analysis can reduce false positives and support risk-based AML supervision.</t>
        </is>
      </c>
      <c r="H65" s="9" t="inlineStr">
        <is>
          <t>Web of Science</t>
        </is>
      </c>
      <c r="I65" s="8">
        <f>IF(B65="","",IF(AND(F65&lt;&gt;"",SUMPRODUCT(--ISNUMBER(SEARCH(Preseleccionados!$A$2:$A$11,F65)))&gt;0),"YA ESTÁ",IF(AND(F65&lt;&gt;"",COUNTIF($F$3:F65,F65)&gt;1),"REPETIDO","")))</f>
        <v/>
      </c>
      <c r="J65" s="8">
        <f>IF(OR(B65="",I65&lt;&gt;""),"",IF(MOD(COUNTIFS($B$3:B65,"&lt;&gt;",$I$3:I65,""),2)=1,"Carlos","Joaquín"))</f>
        <v/>
      </c>
      <c r="K65" s="11" t="n"/>
      <c r="L65" s="11" t="n"/>
      <c r="M65" s="11" t="n"/>
      <c r="N65" s="11" t="n"/>
      <c r="O65" s="11" t="n"/>
      <c r="P65" s="8">
        <f>IF(J65="","",IF(K65="Sale","Descartado",IF(L65="Sale","Descartado",IF(OR(M65="Q3",M65="Q4",M65="No aparece"),"Descartado",IF(N65="Sale","Descartado",IF(O65="Sigue","APROBADO","En proceso"))))))</f>
        <v/>
      </c>
      <c r="Q65" s="10" t="inlineStr">
        <is>
          <t>[Ejime, Oghenefejiro M.; Onyeorueka, Shedrack Isioma Egede] Univ Salford, Salford Business Sch, Manchester, England; [Kosemani, Abiola] Univ Salford, Sch Sci Engn &amp; Environm, Manchester, England</t>
        </is>
      </c>
      <c r="R65" s="9" t="inlineStr">
        <is>
          <t>Bancos</t>
        </is>
      </c>
    </row>
    <row r="66" hidden="1" ht="60" customHeight="1">
      <c r="A66" s="8">
        <f>IF(B66="","",ROW()-2)</f>
        <v/>
      </c>
      <c r="B66" s="9" t="inlineStr">
        <is>
          <t>Predicting money laundering sanctions using machine learning algorithms and artificial neural networks</t>
        </is>
      </c>
      <c r="C66" s="10" t="inlineStr">
        <is>
          <t>Lokanan, ME</t>
        </is>
      </c>
      <c r="D66" s="9" t="n">
        <v>2023</v>
      </c>
      <c r="E66" s="9" t="inlineStr">
        <is>
          <t>Applied Economics Letters</t>
        </is>
      </c>
      <c r="F66" s="9" t="inlineStr">
        <is>
          <t>10.1080/13504851.2023.2176435</t>
        </is>
      </c>
      <c r="G66" s="10" t="inlineStr">
        <is>
          <t>This article used machine learning (ML) and artificial neural network (ANN) algorithms to predict the likelihood of a country being sanctioned by the Basel Institute on Governance for not adhering to anti-money laundering (AML) standards. Data for this paper came from the Basel AML Index and the World Bank. The results showed that the logistic regression and support vector machine (SVM) classifiers had the highest performance and balanced accuracy scores in sanction prediction. Additionally, these two algorithms also had the highest precision, specificity, and F1 scores, indicating that they were robust in their predictions of money laundering sanctions. In contrast to the ML classifiers, the ANN model had the highest sensitivity and receiver operating characteristic scores for money laundering sanctions. The strongest predictors of sanctions are financial transparency, political and legal risks, unemployment rate, and money laundering and terrorist financing risks. These findings reinforce the potential practical applications of ML and ANN models in predicting sanctions.</t>
        </is>
      </c>
      <c r="H66" s="9" t="inlineStr">
        <is>
          <t>Web of Science</t>
        </is>
      </c>
      <c r="I66" s="8">
        <f>IF(B66="","",IF(AND(F66&lt;&gt;"",SUMPRODUCT(--ISNUMBER(SEARCH(Preseleccionados!$A$2:$A$11,F66)))&gt;0),"YA ESTÁ",IF(AND(F66&lt;&gt;"",COUNTIF($F$3:F66,F66)&gt;1),"REPETIDO","")))</f>
        <v/>
      </c>
      <c r="J66" s="8">
        <f>IF(OR(B66="",I66&lt;&gt;""),"",IF(MOD(COUNTIFS($B$3:B66,"&lt;&gt;",$I$3:I66,""),2)=1,"Carlos","Joaquín"))</f>
        <v/>
      </c>
      <c r="K66" s="11" t="n"/>
      <c r="L66" s="11" t="n"/>
      <c r="M66" s="11" t="n"/>
      <c r="N66" s="11" t="n"/>
      <c r="O66" s="11" t="n"/>
      <c r="P66" s="8">
        <f>IF(J66="","",IF(K66="Sale","Descartado",IF(L66="Sale","Descartado",IF(OR(M66="Q3",M66="Q4",M66="No aparece"),"Descartado",IF(N66="Sale","Descartado",IF(O66="Sigue","APROBADO","En proceso"))))))</f>
        <v/>
      </c>
      <c r="Q66" s="10" t="inlineStr">
        <is>
          <t>[Lokanan, Mark E.] Royal Rd Univ, Fac Management, Victoria, BC, Canada; [Lokanan, Mark E.] Royal Rd Univ, Fac Management, 2005 Sooke Rd, Victoria, BC V9B 5Y2, Canada</t>
        </is>
      </c>
      <c r="R66" s="9" t="inlineStr">
        <is>
          <t>Bancos</t>
        </is>
      </c>
    </row>
    <row r="67" hidden="1" ht="60" customHeight="1">
      <c r="A67" s="8">
        <f>IF(B67="","",ROW()-2)</f>
        <v/>
      </c>
      <c r="B67" s="9" t="inlineStr">
        <is>
          <t>Scalable Semi-Supervised Graph Learning Techniques for Anti Money Laundering</t>
        </is>
      </c>
      <c r="C67" s="10" t="inlineStr">
        <is>
          <t>Karim, MR; Hermsen, F; Chala, SA; De Perthuis, P; Mandal, A</t>
        </is>
      </c>
      <c r="D67" s="9" t="n">
        <v>2024</v>
      </c>
      <c r="E67" s="9" t="inlineStr">
        <is>
          <t>Ieee Access</t>
        </is>
      </c>
      <c r="F67" s="9" t="inlineStr">
        <is>
          <t>10.1109/ACCESS.2024.3383784</t>
        </is>
      </c>
      <c r="G67" s="10" t="inlineStr">
        <is>
          <t>Money laundering is the process by which criminals move large sums of illicit money to hidden locations and integrate them as legal funds through existing financial services. The United Nations (UN) estimates that 2 to 5% of global GDP, which is approximately 0.8 to 2.0 trillion dollars, is laundered globally every year. Therefore, accurately identifying such globally alarming activities is crucial for enforcing anti-money laundering (AML) measures. Numerous techniques have been proposed to detect money laundering from transaction graphs of money transfers between bank accounts by analysing the structural and behavioural dynamics of their corresponding dense subgraphs. However, these techniques often do not consider that money laundering usually involves high-volume flows of funds through chains of bank accounts. Moreover, most AML approaches either result in lower detection accuracy or incur higher computational costs, making them less reliable and suitable for real financial systems. Consequently, only a fraction of money laundering activities can be detected and prevented. In this paper, we propose an efficient approach to AML by employing semi-supervised graph learning techniques on a large-scale financial transactional graph in both pipeline settings (i.e., graph embedding models are first trained to generate node embeddings that are combined with additional topological graph features to train binary classifiers) and end-to-end settings (i.e., node classification is performed by training SkipGCN, FastGCN, and EvolveGCN without requiring separate classifiers) to identify nodes involved in potential money laundering activities. We evaluate our approach on four datasets: AMLSim, Elliptic, IBM AML, and SynthAML, with a view to scalability and practicality for real financial systems. Further, we provide local (e.g., how money is laundered between nodes) and global (e.g., what factors contribute to money laundering) explanations of the predictions by highlighting the predominant factors in money laundering cases and elucidating the mechanisms of illicit fund transfers between nodes to enhance the interpretability and transparency of the AML models. Experimental results suggest that our approach is scalable and effective at detecting money laundering from real and synthetic transaction graphs.</t>
        </is>
      </c>
      <c r="H67" s="9" t="inlineStr">
        <is>
          <t>Web of Science</t>
        </is>
      </c>
      <c r="I67" s="8">
        <f>IF(B67="","",IF(AND(F67&lt;&gt;"",SUMPRODUCT(--ISNUMBER(SEARCH(Preseleccionados!$A$2:$A$11,F67)))&gt;0),"YA ESTÁ",IF(AND(F67&lt;&gt;"",COUNTIF($F$3:F67,F67)&gt;1),"REPETIDO","")))</f>
        <v/>
      </c>
      <c r="J67" s="8">
        <f>IF(OR(B67="",I67&lt;&gt;""),"",IF(MOD(COUNTIFS($B$3:B67,"&lt;&gt;",$I$3:I67,""),2)=1,"Carlos","Joaquín"))</f>
        <v/>
      </c>
      <c r="K67" s="11" t="n"/>
      <c r="L67" s="11" t="n"/>
      <c r="M67" s="11" t="n"/>
      <c r="N67" s="11" t="n"/>
      <c r="O67" s="11" t="n"/>
      <c r="P67" s="8">
        <f>IF(J67="","",IF(K67="Sale","Descartado",IF(L67="Sale","Descartado",IF(OR(M67="Q3",M67="Q4",M67="No aparece"),"Descartado",IF(N67="Sale","Descartado",IF(O67="Sigue","APROBADO","En proceso"))))))</f>
        <v/>
      </c>
      <c r="Q67" s="10" t="inlineStr">
        <is>
          <t>[Karim, Md. Rezaul; Hermsen, Felix; Chala, Sisay Adugna] Rhein Westfal TH Aachen, Dept Informat Syst &amp; Databases, D-52074 Aachen, Germany; [Karim, Md. Rezaul; Hermsen, Felix; Mandal, Avikarsha] Fraunhofer FIT, Dept Data Sci &amp; Artificial Intelligence, D-53757 St Augustin, Germany; [Chala, Sisay Adugna] Ecole Normale Super ENS, F-75005 Paris, France; [De Perthuis, Paola] Cosmian, F-75008 Paris, France</t>
        </is>
      </c>
      <c r="R67" s="9" t="inlineStr">
        <is>
          <t>Bancos</t>
        </is>
      </c>
    </row>
    <row r="68" hidden="1" ht="60" customHeight="1">
      <c r="A68" s="8">
        <f>IF(B68="","",ROW()-2)</f>
        <v/>
      </c>
      <c r="B68" s="9" t="inlineStr">
        <is>
          <t>Anti-Money Laundering by Group-Aware Deep Graph Learning</t>
        </is>
      </c>
      <c r="C68" s="10" t="inlineStr">
        <is>
          <t>Cheng, DW; Ye, YJ; Xiang, S; Ma, ZW; Zhang, Y; Jiang, CJ</t>
        </is>
      </c>
      <c r="D68" s="9" t="n">
        <v>2023</v>
      </c>
      <c r="E68" s="9" t="inlineStr">
        <is>
          <t>Ieee Transactions On Knowledge And Data Engineering</t>
        </is>
      </c>
      <c r="F68" s="9" t="inlineStr">
        <is>
          <t>10.1109/TKDE.2023.3272396</t>
        </is>
      </c>
      <c r="G68" s="10" t="inlineStr">
        <is>
          <t>Anti-money laundering (AML) is a classical data mining problem in finance applications. As well known, money laundering (ML) is critical to the effective operation of transnational and organized crime, which affects a country's economy, government, and social wellbeings. Financial services organizations facilitate the movement of money and have been enlisted by governments to assist with the detection and prevention of money laundering, which is a key tool in the fight to reduce crime and create sustainable economic development. In the application of AML, user identity and financial behavior data are widely used to detect laundering transactions. In recent years, an increasing number of money laundering activities have been conducted by organized criminal gangs while most existing works still treat the actions of each account as independent identity behavior without considering the group-level conspired interactions. Therefore, in this paper, we propose a group-aware deep graph learning-based approach for organized money-laundering detection. In particular, we design a community-centric encoder to represent the nodes and attributes in user transaction graphs and derive the adjacent gang behaviors. Then, we devise a scheme of local enhancement to accommodate nodes with similar transaction features, which are aggregated into gangs for downstream detection. Extensive experiments on the real-world dataset from one of the largest bank card alliances worldwide show that our proposed method outperforms state-of-the-art methods in both offline and online modes, showing the effectiveness of money laundering detection with group-aware deep graph learning.</t>
        </is>
      </c>
      <c r="H68" s="9" t="inlineStr">
        <is>
          <t>Web of Science</t>
        </is>
      </c>
      <c r="I68" s="8">
        <f>IF(B68="","",IF(AND(F68&lt;&gt;"",SUMPRODUCT(--ISNUMBER(SEARCH(Preseleccionados!$A$2:$A$11,F68)))&gt;0),"YA ESTÁ",IF(AND(F68&lt;&gt;"",COUNTIF($F$3:F68,F68)&gt;1),"REPETIDO","")))</f>
        <v/>
      </c>
      <c r="J68" s="8">
        <f>IF(OR(B68="",I68&lt;&gt;""),"",IF(MOD(COUNTIFS($B$3:B68,"&lt;&gt;",$I$3:I68,""),2)=1,"Carlos","Joaquín"))</f>
        <v/>
      </c>
      <c r="K68" s="11" t="n"/>
      <c r="L68" s="11" t="n"/>
      <c r="M68" s="11" t="n"/>
      <c r="N68" s="11" t="n"/>
      <c r="O68" s="11" t="n"/>
      <c r="P68" s="8">
        <f>IF(J68="","",IF(K68="Sale","Descartado",IF(L68="Sale","Descartado",IF(OR(M68="Q3",M68="Q4",M68="No aparece"),"Descartado",IF(N68="Sale","Descartado",IF(O68="Sigue","APROBADO","En proceso"))))))</f>
        <v/>
      </c>
      <c r="Q68" s="10" t="inlineStr">
        <is>
          <t>[Cheng, Dawei; Ye, Yujia; Jiang, Changjun] Tongji Univ, Dept Comp Sci &amp; Technol, Shanghai 201804, Peoples R China; [Cheng, Dawei; Ye, Yujia; Jiang, Changjun] Shanghai Artificial Intelligence Lab, Shanghai 200030, Peoples R China; [Xiang, Sheng; Zhang, Ying] Zhejiang Gongshang Univ, Sch Comp &amp; Informat Engn, Hangzhou 314423, Peoples R China; [Xiang, Sheng; Zhang, Ying] Univ Technol Sydney, Australian Artificial Intelligence Inst, Sydney, NSW 2007, Australia; [Ma, Zhenwei] China UnionPay Co Ltd, Res &amp; Dev, Ctr Financial Safety, Shanghai 201201, Peoples R China</t>
        </is>
      </c>
      <c r="R68" s="9" t="inlineStr">
        <is>
          <t>Bancos</t>
        </is>
      </c>
    </row>
    <row r="69" hidden="1" ht="60" customHeight="1">
      <c r="A69" s="8">
        <f>IF(B69="","",ROW()-2)</f>
        <v/>
      </c>
      <c r="B69" s="9" t="inlineStr">
        <is>
          <t>Mitigating Class Imbalance in Banking Transactions: A Graph-Based GAN Solution for Fraud Detection</t>
        </is>
      </c>
      <c r="C69" s="10" t="inlineStr">
        <is>
          <t>Girish, KK; Anuraag, B; Reddy, HP; Mayur, NR; Bhowmik, B</t>
        </is>
      </c>
      <c r="D69" s="9" t="n">
        <v>2026</v>
      </c>
      <c r="E69" s="9" t="inlineStr">
        <is>
          <t>Computational Economics</t>
        </is>
      </c>
      <c r="F69" s="9" t="inlineStr">
        <is>
          <t>10.1007/s10614-025-11219-1</t>
        </is>
      </c>
      <c r="G69" s="10" t="inlineStr">
        <is>
          <t>In an era of complex digital transactions, financial fraud detection remains a critical challenge for institutions worldwide. Financial datasets are often highly imbalanced, with fraudulent transactions constituting only a small fraction of the overall volume. This imbalance hinders machine learning models, leading to diminished accuracy in identifying minority-class instances. To address this issue, this paper provides a comprehensive comparative analysis of various class imbalance adjusting schemes-including resampling, cost-sensitive, and ensemble methods-and highlights their respective limitations in handling complex transactional data. Building on these insights, the paper proposes a novel approach that integrates Conditional Generative Adversarial Networks (CGAN) with Graph Attention Networks (GAT). The CGAN+GAT framework synthesizes high-fidelity minority-class samples while preserving the intricate relational structures inherent in financial transactions. Extensive experiments on the IBM Transactions for Anti-Money Laundering (AML) dataset demonstrate that CGAN+GAT outperforms traditional resampling methods, cost-sensitive approaches, and baseline graph-based models in both statistical fidelity and classification performance. Evaluation metrics, including accuracy, F1-score, and G-Mean, indicate that the CGAN+GAT approach achieves superior detection rates, significantly reducing false negatives. This research underscores the importance of combining generative modeling with graph-based attention mechanisms to enhance fraud detection in highly imbalanced, complex financial datasets.</t>
        </is>
      </c>
      <c r="H69" s="9" t="inlineStr">
        <is>
          <t>Web of Science</t>
        </is>
      </c>
      <c r="I69" s="8">
        <f>IF(B69="","",IF(AND(F69&lt;&gt;"",SUMPRODUCT(--ISNUMBER(SEARCH(Preseleccionados!$A$2:$A$11,F69)))&gt;0),"YA ESTÁ",IF(AND(F69&lt;&gt;"",COUNTIF($F$3:F69,F69)&gt;1),"REPETIDO","")))</f>
        <v/>
      </c>
      <c r="J69" s="8">
        <f>IF(OR(B69="",I69&lt;&gt;""),"",IF(MOD(COUNTIFS($B$3:B69,"&lt;&gt;",$I$3:I69,""),2)=1,"Carlos","Joaquín"))</f>
        <v/>
      </c>
      <c r="K69" s="11" t="n"/>
      <c r="L69" s="11" t="n"/>
      <c r="M69" s="11" t="n"/>
      <c r="N69" s="11" t="n"/>
      <c r="O69" s="11" t="n"/>
      <c r="P69" s="8">
        <f>IF(J69="","",IF(K69="Sale","Descartado",IF(L69="Sale","Descartado",IF(OR(M69="Q3",M69="Q4",M69="No aparece"),"Descartado",IF(N69="Sale","Descartado",IF(O69="Sigue","APROBADO","En proceso"))))))</f>
        <v/>
      </c>
      <c r="Q69" s="10" t="inlineStr">
        <is>
          <t>[Girish, K. K.; Anuraag, B., V; Reddy, Harshith P.; Mayur, Nishchal R.; Bhowmik, Biswajit] Natl Inst Technol Karnataka, Dept Comp Sci Engn, BRICS Lab, Ishwarchandra Vidyasagar AIT Lab, Mangalore 575025, Karnataka, India</t>
        </is>
      </c>
      <c r="R69" s="9" t="inlineStr">
        <is>
          <t>Bancos</t>
        </is>
      </c>
    </row>
    <row r="70" hidden="1" ht="60" customHeight="1">
      <c r="A70" s="8">
        <f>IF(B70="","",ROW()-2)</f>
        <v/>
      </c>
      <c r="B70" s="9" t="inlineStr">
        <is>
          <t>Optimization of Deep Learning-Based Model for Identification of Credit Card Frauds</t>
        </is>
      </c>
      <c r="C70" s="10" t="inlineStr">
        <is>
          <t>Palivela, H; Rishiwal, V; Bhushan, S; Alotaibi, A; Agarwal, U; Kumar, P; Yadav, M</t>
        </is>
      </c>
      <c r="D70" s="9" t="n">
        <v>2024</v>
      </c>
      <c r="E70" s="9" t="inlineStr">
        <is>
          <t>Ieee Access</t>
        </is>
      </c>
      <c r="F70" s="9" t="inlineStr">
        <is>
          <t>10.1109/ACCESS.2024.3440637</t>
        </is>
      </c>
      <c r="G70" s="10" t="inlineStr">
        <is>
          <t>With the growth of the internet, the landscape of commercial transactions has undergone significant changes. The digital revolution has permeated various aspects of our daily lives, notably transforming the financial system through digital money transfers across global distances. Digital transactions, including online purchases, money transfers, banking, and investing, have become routine. This shift has provided many advantages and opened the door for illegal activities such as money laundering. This research aims to identify transaction patterns to help algorithms recognize and flag scammers. We propose a deep learning-based sequential model framework to optimize fraud and non-fraud transaction classification. Proposed approach incorporates methods of ensemble learning including Gradient Boost, Random Forest, Logistic Regression, and Voting Classifiers, along with hyperparameter tuning to prevent overfitting. To solve the dataset inconsistency common in credit card dataset, we used techniques like under-sampling and the Synthetic Minority Over-sampling Technique (SMOTE) with specific machine learning (ML) algorithms. Our methodology involves data pre-processing, feature engineering, model selection, and evaluation. We leveraged the computational power of Google Colab for efficient model training and testing. Temporal features were extracted to capture transaction patterns over time, such as frequency and timing, along with features based on transaction amounts, merchant types, and geographic locations to detect subtle anomalies indicative of fraud. These features were input into a supervised learning algorithm, resulting in a model significantly outperforming baseline methods. The model was tested using a sizable dataset of anonymized transactions made with credit cards, and its effectiveness was measured using metrics such as accuracy, precision, recall, and F1-score. While it cannot entirely prevent fraudulent transactions, it effectively manages false positives through careful review, achieving an accuracy of 99.59%, surpassing other innovative models.</t>
        </is>
      </c>
      <c r="H70" s="9" t="inlineStr">
        <is>
          <t>Web of Science</t>
        </is>
      </c>
      <c r="I70" s="8">
        <f>IF(B70="","",IF(AND(F70&lt;&gt;"",SUMPRODUCT(--ISNUMBER(SEARCH(Preseleccionados!$A$2:$A$11,F70)))&gt;0),"YA ESTÁ",IF(AND(F70&lt;&gt;"",COUNTIF($F$3:F70,F70)&gt;1),"REPETIDO","")))</f>
        <v/>
      </c>
      <c r="J70" s="8">
        <f>IF(OR(B70="",I70&lt;&gt;""),"",IF(MOD(COUNTIFS($B$3:B70,"&lt;&gt;",$I$3:I70,""),2)=1,"Carlos","Joaquín"))</f>
        <v/>
      </c>
      <c r="K70" s="11" t="n"/>
      <c r="L70" s="11" t="n"/>
      <c r="M70" s="11" t="n"/>
      <c r="N70" s="11" t="n"/>
      <c r="O70" s="11" t="n"/>
      <c r="P70" s="8">
        <f>IF(J70="","",IF(K70="Sale","Descartado",IF(L70="Sale","Descartado",IF(OR(M70="Q3",M70="Q4",M70="No aparece"),"Descartado",IF(N70="Sale","Descartado",IF(O70="Sigue","APROBADO","En proceso"))))))</f>
        <v/>
      </c>
      <c r="Q70" s="10" t="inlineStr">
        <is>
          <t>[Palivela, Hemant] Damac Properties LLC, Dubai, U Arab Emirates; [Rishiwal, Vinay] MJP Rohilkhand Univ, Dept CSIT, Bareilly 243006, India; [Bhushan, Shashi] Univ Teknol PETRONAS, Dept CIS, Seri Iskandar 32160, Perak, Malaysia; [Alotaibi, Aziz] Taif Univ, Coll Comp &amp; Informat Technol, Dept Comp Sci, Taif 26571, Saudi Arabia; [Agarwal, Udit] RBMI Grp Inst, Dept CSIT, Bareilly 224001, India; [Kumar, Pramod] Swami Rama Himalayan Univ, Dept Comp Sci &amp; Engn, Dehra Dun 248016, India; [Yadav, Mano] Bareilly Coll, Dept Comp Sci, Bareilly 243001, India</t>
        </is>
      </c>
      <c r="R70" s="9" t="inlineStr">
        <is>
          <t>Bancos</t>
        </is>
      </c>
    </row>
    <row r="71" hidden="1" ht="60" customHeight="1">
      <c r="A71" s="8">
        <f>IF(B71="","",ROW()-2)</f>
        <v/>
      </c>
      <c r="B71" s="9" t="inlineStr">
        <is>
          <t>The Imbalanced Classification of Fraudulent Bank Transactions Using Machine Learning</t>
        </is>
      </c>
      <c r="C71" s="10" t="inlineStr">
        <is>
          <t>Ruchay, A; Feldman, E; Cherbadzhi, D; Sokolov, A</t>
        </is>
      </c>
      <c r="D71" s="9" t="n">
        <v>2023</v>
      </c>
      <c r="E71" s="9" t="inlineStr">
        <is>
          <t>Mathematics</t>
        </is>
      </c>
      <c r="F71" s="9" t="inlineStr">
        <is>
          <t>10.3390/math11132862</t>
        </is>
      </c>
      <c r="G71" s="10" t="inlineStr">
        <is>
          <t>This article studies the development of a reliable AI model to detect fraudulent bank transactions, including money laundering, and illegal activities with goods and services. The proposed machine learning model uses the CreditCardFraud dataset and utilizes multiple algorithms with different parameters. The results are evaluated using Accuracy, Precision, Recall, F1 score, and IBA. We have increased the reliability of the imbalanced classification of fraudulent credit card transactions in comparison to the best known results by using the Tomek links resampling algorithm of the imbalanced CreditCardFraud dataset. The reliability of the results, using the proposed model based on the TPOT and RandomForest algorithms, has been confirmed by using 10-fold cross-validation. It is shown that on the dataset the accuracy of the proposed model detecting fraudulent bank transactions reaches 99.99%.</t>
        </is>
      </c>
      <c r="H71" s="9" t="inlineStr">
        <is>
          <t>Web of Science</t>
        </is>
      </c>
      <c r="I71" s="8">
        <f>IF(B71="","",IF(AND(F71&lt;&gt;"",SUMPRODUCT(--ISNUMBER(SEARCH(Preseleccionados!$A$2:$A$11,F71)))&gt;0),"YA ESTÁ",IF(AND(F71&lt;&gt;"",COUNTIF($F$3:F71,F71)&gt;1),"REPETIDO","")))</f>
        <v/>
      </c>
      <c r="J71" s="8">
        <f>IF(OR(B71="",I71&lt;&gt;""),"",IF(MOD(COUNTIFS($B$3:B71,"&lt;&gt;",$I$3:I71,""),2)=1,"Carlos","Joaquín"))</f>
        <v/>
      </c>
      <c r="K71" s="11" t="n"/>
      <c r="L71" s="11" t="n"/>
      <c r="M71" s="11" t="n"/>
      <c r="N71" s="11" t="n"/>
      <c r="O71" s="11" t="n"/>
      <c r="P71" s="8">
        <f>IF(J71="","",IF(K71="Sale","Descartado",IF(L71="Sale","Descartado",IF(OR(M71="Q3",M71="Q4",M71="No aparece"),"Descartado",IF(N71="Sale","Descartado",IF(O71="Sigue","APROBADO","En proceso"))))))</f>
        <v/>
      </c>
      <c r="Q71" s="10" t="inlineStr">
        <is>
          <t>[Ruchay, Alexey; Sokolov, Alexander] Nat Res Univ, South Ural State Univ, Dept Informat Secur, Chelyabinsk 454080, Russia; [Ruchay, Alexey; Feldman, Elena; Cherbadzhi, Dmitriy] Chelyabinsk State Univ, Dept Math, Chelyabinsk 454001, Russia</t>
        </is>
      </c>
      <c r="R71" s="9" t="inlineStr">
        <is>
          <t>Bancos</t>
        </is>
      </c>
    </row>
    <row r="72" hidden="1" ht="60" customHeight="1">
      <c r="A72" s="8">
        <f>IF(B72="","",ROW()-2)</f>
        <v/>
      </c>
      <c r="B72" s="9" t="inlineStr">
        <is>
          <t>Evaluating fraud detection algorithms in a decentralized scenario</t>
        </is>
      </c>
      <c r="C72" s="10" t="inlineStr">
        <is>
          <t>Gige, AM; Alsbirk, LB; Coscia, M</t>
        </is>
      </c>
      <c r="D72" s="9" t="n">
        <v>2026</v>
      </c>
      <c r="E72" s="9" t="inlineStr">
        <is>
          <t>Royal Society Open Science</t>
        </is>
      </c>
      <c r="F72" s="9" t="inlineStr">
        <is>
          <t>10.1098/rsos.251922</t>
        </is>
      </c>
      <c r="G72" s="10" t="inlineStr">
        <is>
          <t>Financial fraud is an umbrella term including a vast number of illegal activities. These activities involve a significant fraction of the global economy. Traditional investigation techniques are labour-intensive and cannot scale to match the size of the issue. Machine learning has provided effective tools which deliver high accuracy in identifying transactions that could be involved in fraudulent activities. In this paper, we point out that the state-of-the-art in financial fraud detection has been applied to the unrealistic scenario of an omniscient centralized global authority which has access to all bank transactions globally. We propose a more realistic evaluation scenario, one made of two steps: first, the bank flags its own transactions using exclusively information it possesses; then only flagged transactions from all banks are analysed by the governmental authority for potential prosecution. We find that, in such a realistic scenario, the effectiveness of the state-of-the-art method for financial fraud detection decreases. Moreover, we show that in this decentralized scenario, it pays off to use simpler methods than the state-of-the-art, depending on the specific objective function the system wants to ensure.</t>
        </is>
      </c>
      <c r="H72" s="9" t="inlineStr">
        <is>
          <t>Web of Science</t>
        </is>
      </c>
      <c r="I72" s="8">
        <f>IF(B72="","",IF(AND(F72&lt;&gt;"",SUMPRODUCT(--ISNUMBER(SEARCH(Preseleccionados!$A$2:$A$11,F72)))&gt;0),"YA ESTÁ",IF(AND(F72&lt;&gt;"",COUNTIF($F$3:F72,F72)&gt;1),"REPETIDO","")))</f>
        <v/>
      </c>
      <c r="J72" s="8">
        <f>IF(OR(B72="",I72&lt;&gt;""),"",IF(MOD(COUNTIFS($B$3:B72,"&lt;&gt;",$I$3:I72,""),2)=1,"Carlos","Joaquín"))</f>
        <v/>
      </c>
      <c r="K72" s="11" t="n"/>
      <c r="L72" s="11" t="n"/>
      <c r="M72" s="11" t="n"/>
      <c r="N72" s="11" t="n"/>
      <c r="O72" s="11" t="n"/>
      <c r="P72" s="8">
        <f>IF(J72="","",IF(K72="Sale","Descartado",IF(L72="Sale","Descartado",IF(OR(M72="Q3",M72="Q4",M72="No aparece"),"Descartado",IF(N72="Sale","Descartado",IF(O72="Sigue","APROBADO","En proceso"))))))</f>
        <v/>
      </c>
      <c r="Q72" s="10" t="inlineStr">
        <is>
          <t>[Gige, Ada M.; Buschmann Alsbirk, Lasse; Coscia, Michele] IT Univ Copenhagen, Copenhagen, Denmark</t>
        </is>
      </c>
      <c r="R72" s="9" t="inlineStr">
        <is>
          <t>Bancos</t>
        </is>
      </c>
    </row>
    <row r="73" hidden="1" ht="60" customHeight="1">
      <c r="A73" s="8">
        <f>IF(B73="","",ROW()-2)</f>
        <v/>
      </c>
      <c r="B73" s="9" t="inlineStr">
        <is>
          <t>Reinforcing CBDC Integrity: A Novel Anti Money Laundering Solution by Integrating Blockchain, Machine Learning, and Taint Analysis</t>
        </is>
      </c>
      <c r="C73" s="10" t="inlineStr">
        <is>
          <t>S. T. Amber; H. Ghafoor; P. D. Thanh; C. -H. Hsia</t>
        </is>
      </c>
      <c r="D73" s="9" t="n">
        <v>2026</v>
      </c>
      <c r="E73" s="9" t="inlineStr">
        <is>
          <t>IEEE Open Journal of the Computer Society</t>
        </is>
      </c>
      <c r="F73" s="9" t="inlineStr">
        <is>
          <t>10.1109/OJCS.2026.3666199</t>
        </is>
      </c>
      <c r="G73" s="10" t="inlineStr">
        <is>
          <t>As the central bank digital currency (CBDC) is rapidly becoming operational, there are both opportunities for financial inclusion and efficiency, as well as problems of security threats and anti-money laundering (AML), particularly due to concerns about user anonymity. In order to address the risks associated with anonymous transactions, this research proposes a multi-layered security framework for CBDC that makes use of smart contracts built on the Ethereum platform, taint analysis, and machine learning (ML) models. The solution makes use of programmable smart contracts to automate policy enforcement and transaction validation within the CBDC ecosystem. Taint analysis techniques are incorporated to track the movement of illicit funds and identify questionable transaction patterns across the blockchain network. This is further enhanced by ML models that are optimized to learn from transaction data in order to reliably identify anomalous or illicit actions before they occur. We have generated two synthetic datasets that include two case scenarios and trained six ML models to evaluate them comparatively. Of them, random forest had the highest level of accuracy, 91.11%, in the cross-border case, whereas the support vector machine had a accuracy of 93.12% in the case of real estate transactions. In addition, we conducted a performance comparison of five environments; traditional banking, CBDC with baseline blockchain, CBDC with blockchain, CBDC with ML, and CBDC with blockchain, taint analysis and ML. We used different metrics to test the performance of our proposed scheme and found that our AML tracking algorithm took an average of 0.55 s inference time, which is faster than the underlying reference method. According to our results, the proposed combined framework ensures high-level protection that improved risk detection in digital currencies, with a significantly reduced risk of money laundering and related hazards when using CBDC systems.</t>
        </is>
      </c>
      <c r="H73" s="9" t="inlineStr">
        <is>
          <t>IEEE Xplore</t>
        </is>
      </c>
      <c r="I73" s="8">
        <f>IF(B73="","",IF(AND(F73&lt;&gt;"",SUMPRODUCT(--ISNUMBER(SEARCH(Preseleccionados!$A$2:$A$11,F73)))&gt;0),"YA ESTÁ",IF(AND(F73&lt;&gt;"",COUNTIF($F$3:F73,F73)&gt;1),"REPETIDO","")))</f>
        <v/>
      </c>
      <c r="J73" s="8">
        <f>IF(OR(B73="",I73&lt;&gt;""),"",IF(MOD(COUNTIFS($B$3:B73,"&lt;&gt;",$I$3:I73,""),2)=1,"Carlos","Joaquín"))</f>
        <v/>
      </c>
      <c r="K73" s="11" t="n"/>
      <c r="L73" s="11" t="n"/>
      <c r="M73" s="11" t="n"/>
      <c r="N73" s="11" t="n"/>
      <c r="O73" s="11" t="n"/>
      <c r="P73" s="8">
        <f>IF(J73="","",IF(K73="Sale","Descartado",IF(L73="Sale","Descartado",IF(OR(M73="Q3",M73="Q4",M73="No aparece"),"Descartado",IF(N73="Sale","Descartado",IF(O73="Sigue","APROBADO","En proceso"))))))</f>
        <v/>
      </c>
      <c r="Q73" s="10" t="inlineStr">
        <is>
          <t>School of Electrical Engineering and Computer Science, National University of Sciences and Technology, Islamabad, Pakistan; School of Electrical Engineering and Computer Science, National University of Sciences and Technology, Islamabad, Pakistan; National Institute of Information and Communications Technology, Tokyo, Japan; Department of Computer Science and Information Engineering, National Ilan University, Yilan, Taiwan</t>
        </is>
      </c>
      <c r="R73" s="9" t="inlineStr">
        <is>
          <t>Bancos</t>
        </is>
      </c>
    </row>
    <row r="74" hidden="1" ht="60" customHeight="1">
      <c r="A74" s="8">
        <f>IF(B74="","",ROW()-2)</f>
        <v/>
      </c>
      <c r="B74" s="9" t="inlineStr">
        <is>
          <t>GCF-MLD: Integrated Approach for Money Laundering Detection Using Machine Learning and Graph Network Analysis</t>
        </is>
      </c>
      <c r="C74" s="10" t="inlineStr">
        <is>
          <t>F. Irshad; T. Alkhalifah; F. Alturise; Y. Daanial Khan</t>
        </is>
      </c>
      <c r="D74" s="9" t="n">
        <v>2024</v>
      </c>
      <c r="E74" s="9" t="inlineStr">
        <is>
          <t>IEEE Access</t>
        </is>
      </c>
      <c r="F74" s="9" t="inlineStr">
        <is>
          <t>10.1109/ACCESS.2024.3510115</t>
        </is>
      </c>
      <c r="G74" s="10" t="inlineStr">
        <is>
          <t>Money laundering is a critical issue for financial institutions especially in developing countries and detecting such suspicious activities is a challenging task. The rule-based money laundering detection systems currently being used by the financial institutions rely on pre-defined rules that are often not able to keep up with rapidly changing tactics of money launderers. In this regard, machine learning based approaches have gained attention for detecting suspicious transactions related to money laundering. In this study, we propose a novel approach “Graph-Clustering Fusion for Money Laundering Detection (GCF-MLD)” combining graph network analysis with clustering methodology to identify suspicious accounts in real-world banking dataset. The results exhibit that the proposed model can be effectively used by the financial institutions to replace current rule-based techniques to significantly improve the efficiency and effectiveness of money laundering detection systems.</t>
        </is>
      </c>
      <c r="H74" s="9" t="inlineStr">
        <is>
          <t>IEEE Xplore</t>
        </is>
      </c>
      <c r="I74" s="8">
        <f>IF(B74="","",IF(AND(F74&lt;&gt;"",SUMPRODUCT(--ISNUMBER(SEARCH(Preseleccionados!$A$2:$A$11,F74)))&gt;0),"YA ESTÁ",IF(AND(F74&lt;&gt;"",COUNTIF($F$3:F74,F74)&gt;1),"REPETIDO","")))</f>
        <v/>
      </c>
      <c r="J74" s="8">
        <f>IF(OR(B74="",I74&lt;&gt;""),"",IF(MOD(COUNTIFS($B$3:B74,"&lt;&gt;",$I$3:I74,""),2)=1,"Carlos","Joaquín"))</f>
        <v/>
      </c>
      <c r="K74" s="11" t="n"/>
      <c r="L74" s="11" t="n"/>
      <c r="M74" s="11" t="n"/>
      <c r="N74" s="11" t="n"/>
      <c r="O74" s="11" t="n"/>
      <c r="P74" s="8">
        <f>IF(J74="","",IF(K74="Sale","Descartado",IF(L74="Sale","Descartado",IF(OR(M74="Q3",M74="Q4",M74="No aparece"),"Descartado",IF(N74="Sale","Descartado",IF(O74="Sigue","APROBADO","En proceso"))))))</f>
        <v/>
      </c>
      <c r="Q74" s="10" t="inlineStr">
        <is>
          <t>Department of Computer Science, School of Systems and Technology, University of Management and Technology, Lahore, Pakistan; Department of Computer Engineering, College of Computer, Qassim University, Buraydah, Saudi Arabia; Department of Cybersecurity, College of Computer, Qassim University, Buraydah, Saudi Arabia; Department of Computer Science, School of Systems and Technology, University of Management and Technology, Lahore, Pakistan</t>
        </is>
      </c>
      <c r="R74" s="9" t="inlineStr">
        <is>
          <t>Bancos</t>
        </is>
      </c>
    </row>
    <row r="75" hidden="1" ht="60" customHeight="1">
      <c r="A75" s="8">
        <f>IF(B75="","",ROW()-2)</f>
        <v/>
      </c>
      <c r="B75" s="9" t="inlineStr">
        <is>
          <t>A Suspicious Financial Transaction Detection Model Using Autoencoder and Risk-Based Approach</t>
        </is>
      </c>
      <c r="C75" s="10" t="inlineStr">
        <is>
          <t>K. Koo; M. Park; B. Yoon</t>
        </is>
      </c>
      <c r="D75" s="9" t="n">
        <v>2024</v>
      </c>
      <c r="E75" s="9" t="inlineStr">
        <is>
          <t>IEEE Access</t>
        </is>
      </c>
      <c r="F75" s="9" t="inlineStr">
        <is>
          <t>10.1109/ACCESS.2024.3399824</t>
        </is>
      </c>
      <c r="G75" s="10" t="inlineStr">
        <is>
          <t>This study focuses on the detection of suspicious transactions characterized by the opaque and complex electronic channels that have emerged with the advancement of electronic financial technology. A model that can immediately reflect trends in various types of fund and transaction flows, and autonomously learn complex transaction types, is proposed. As a key outcome, an internal control model for detecting suspicious transactions based on the risk-based approach is constructed by utilizing autoencoder to enhance anti-money laundering (AML) operations, and this method surpasses traditional AML methods. Additionally, the proposed model facilitates the extraction of candidate factors for suspicious transactions and updates warning models in AML monitoring systems, thereby allowing for the analysis of alert cases. As a result, AML operations based on the proposed model are quantitatively and qualitatively superior to those based on the traditional approaches, resulting in swift processing by avoiding exhaustive examinations of suspicious transaction types. This research provides information that can improve the AML operation systems used within the financial sector by evaluating the risk of suspicious transactions and reflecting various elements of funds and transactions.</t>
        </is>
      </c>
      <c r="H75" s="9" t="inlineStr">
        <is>
          <t>IEEE Xplore</t>
        </is>
      </c>
      <c r="I75" s="8">
        <f>IF(B75="","",IF(AND(F75&lt;&gt;"",SUMPRODUCT(--ISNUMBER(SEARCH(Preseleccionados!$A$2:$A$11,F75)))&gt;0),"YA ESTÁ",IF(AND(F75&lt;&gt;"",COUNTIF($F$3:F75,F75)&gt;1),"REPETIDO","")))</f>
        <v/>
      </c>
      <c r="J75" s="8">
        <f>IF(OR(B75="",I75&lt;&gt;""),"",IF(MOD(COUNTIFS($B$3:B75,"&lt;&gt;",$I$3:I75,""),2)=1,"Carlos","Joaquín"))</f>
        <v/>
      </c>
      <c r="K75" s="11" t="n"/>
      <c r="L75" s="11" t="n"/>
      <c r="M75" s="11" t="n"/>
      <c r="N75" s="11" t="n"/>
      <c r="O75" s="11" t="n"/>
      <c r="P75" s="8">
        <f>IF(J75="","",IF(K75="Sale","Descartado",IF(L75="Sale","Descartado",IF(OR(M75="Q3",M75="Q4",M75="No aparece"),"Descartado",IF(N75="Sale","Descartado",IF(O75="Sigue","APROBADO","En proceso"))))))</f>
        <v/>
      </c>
      <c r="Q75" s="10" t="inlineStr">
        <is>
          <t>Department of Fintech and Blockchain, School of Engineering, Seoul, South Korea; Department of Industrial and Systems Engineering, Dongguk University, Seoul, South Korea; Department of Industrial and Systems Engineering, Dongguk University, Seoul, South Korea</t>
        </is>
      </c>
      <c r="R75" s="9" t="inlineStr">
        <is>
          <t>Bancos</t>
        </is>
      </c>
    </row>
    <row r="76" hidden="1" ht="60" customHeight="1">
      <c r="A76" s="8">
        <f>IF(B76="","",ROW()-2)</f>
        <v/>
      </c>
      <c r="B76" s="9" t="inlineStr">
        <is>
          <t>Machine Learning and Network Analysis for Cross-Border Suspicious Transaction Detection: Evidence From the FinCEN Files</t>
        </is>
      </c>
      <c r="C76" s="10" t="inlineStr">
        <is>
          <t>O. M. Ejime; A. Kosemani; S. I. E. Onyeorueka</t>
        </is>
      </c>
      <c r="D76" s="9" t="n">
        <v>2026</v>
      </c>
      <c r="E76" s="9" t="inlineStr">
        <is>
          <t>IEEE Access</t>
        </is>
      </c>
      <c r="F76" s="9" t="inlineStr">
        <is>
          <t>10.1109/ACCESS.2026.3685103</t>
        </is>
      </c>
      <c r="G76" s="10" t="inlineStr">
        <is>
          <t>Traditional rule-based anti-money-laundering (AML) systems raise far more alerts than humans can plausibly investigate. In the aftermath of the International Consortium of Investigative Journalists’ FinCEN Files revelations, compliance teams and regulators have begun to ask whether a data-driven approach might allocate scarce attention more effectively. This study presents a holistic framework that combines descriptive statistics, time-series modelling, geospatial analysis, network science and machine-learning classification to analyse 4,507 aggregated transaction groups (more than 200,000 individual transaction records) from the FinCEN Files dataset. After cleaning and integrating the data, we explore the heavy-tailed distribution of suspicious amounts, identify temporal spikes linked to economic crises, map cross-border corridors between secrecy jurisdictions, quantify centrality in the bank-to-bank network, fit an ARIMA model to monthly volumes, and construct a risk-scoring system. Logistic regression, Random Forest and XGBoost models are benchmarked against unsupervised isolation and one-class support vector methods. Ensemble models achieve area-under-the-ROC-curve scores around 0.97–0.98, substantially outperforming rule-based or unsupervised baselines. Our results demonstrate that network metrics, particularly degree and betweenness centrality, and high-risk corridor indicators, are among the most important predictors of suspicious behaviour. We conclude by situating these findings within the emerging literature on graph neural networks and proposing avenues for continual learning, beneficial ownership integration and cross-institutional transferability. Overall, the work illustrates that a judicious blend of machine learning and network analysis can reduce false positives and support risk-based AML supervision.</t>
        </is>
      </c>
      <c r="H76" s="9" t="inlineStr">
        <is>
          <t>IEEE Xplore</t>
        </is>
      </c>
      <c r="I76" s="8">
        <f>IF(B76="","",IF(AND(F76&lt;&gt;"",SUMPRODUCT(--ISNUMBER(SEARCH(Preseleccionados!$A$2:$A$11,F76)))&gt;0),"YA ESTÁ",IF(AND(F76&lt;&gt;"",COUNTIF($F$3:F76,F76)&gt;1),"REPETIDO","")))</f>
        <v/>
      </c>
      <c r="J76" s="8">
        <f>IF(OR(B76="",I76&lt;&gt;""),"",IF(MOD(COUNTIFS($B$3:B76,"&lt;&gt;",$I$3:I76,""),2)=1,"Carlos","Joaquín"))</f>
        <v/>
      </c>
      <c r="K76" s="11" t="n"/>
      <c r="L76" s="11" t="n"/>
      <c r="M76" s="11" t="n"/>
      <c r="N76" s="11" t="n"/>
      <c r="O76" s="11" t="n"/>
      <c r="P76" s="8">
        <f>IF(J76="","",IF(K76="Sale","Descartado",IF(L76="Sale","Descartado",IF(OR(M76="Q3",M76="Q4",M76="No aparece"),"Descartado",IF(N76="Sale","Descartado",IF(O76="Sigue","APROBADO","En proceso"))))))</f>
        <v/>
      </c>
      <c r="Q76" s="10" t="inlineStr">
        <is>
          <t>Salford Business School, University of Salford, Manchester, U.K.; School of Science, Engineering and Environment, University of Salford, Manchester, U.K.; Salford Business School, University of Salford, Manchester, U.K.</t>
        </is>
      </c>
      <c r="R76" s="9" t="inlineStr">
        <is>
          <t>Bancos</t>
        </is>
      </c>
    </row>
    <row r="77" ht="60" customHeight="1">
      <c r="A77" s="8">
        <f>IF(B77="","",ROW()-2)</f>
        <v/>
      </c>
      <c r="B77" s="9" t="inlineStr">
        <is>
          <t>Deep Learning Approaches for Anti-Money Laundering on Mobile Transactions: Review, Framework, and Directions</t>
        </is>
      </c>
      <c r="C77" s="10" t="inlineStr">
        <is>
          <t>J. Fan; L. Khin Shar; R. Zhang; Z. Liu; W. Yang; D. Niyato; K. -Y. Lam</t>
        </is>
      </c>
      <c r="D77" s="9" t="n">
        <v>2026</v>
      </c>
      <c r="E77" s="9" t="inlineStr">
        <is>
          <t>IEEE Internet of Things Journal</t>
        </is>
      </c>
      <c r="F77" s="9" t="inlineStr">
        <is>
          <t>10.1109/JIOT.2026.3653434</t>
        </is>
      </c>
      <c r="G77" s="10" t="inlineStr">
        <is>
          <t>Money laundering is a financial crime that obscures the origin of illicit funds, necessitating the development and enforcement of anti-money laundering (AML) policies by governments and organizations. The proliferation of mobile payment platforms and smart IoT devices has significantly complicated AML investigations. As payment networks become more interconnected, there is an increasing need for efficient real-time detection to process large volumes of transaction data on heterogeneous payment systems by different operators such as digital currencies, cryptocurrencies, and account-based payments. Most of these mobile payment networks are supported by connected devices, many of which are considered loT devices in the FinTech space that constantly generate data. Furthermore, the growing complexity and unpredictability of transaction patterns across these networks contribute to a higher incidence of false positives. While machine learning (ML) solutions have the potential to enhance detection efficiency, their application in AML faces unique challenges, such as addressing privacy concerns tied to sensitive financial data and managing the real-world constraint of limited data availability due to data regulations. Existing surveys in the AML literature broadly review ML approaches for money laundering detection, but they often lack an in-depth exploration of advanced deep learning techniques—an emerging field with significant potential. To address this gap, this article conducts a comprehensive review of deep learning solutions and the challenges associated with their use in AML. In addition, we propose a novel framework that applies the least-privilege principle by integrating ML techniques, codifying AML red flags, and employing account profiling to provide context for predictions and enable effective fraud detection under limited data availability. Specifically, our approach defines AML-relevant financial profile characteristics and risk indicators to contextualize transactions and assess their associated risks. The proposed context-risk-predict AML (CRP-AML) model demonstrates notable success, achieving an  ${F}1$  score of 82.51% on the minority class and nearly doubling the performance of other pattern detection models when the proportion of money laundering records in the dataset drops as low as 0.0005.</t>
        </is>
      </c>
      <c r="H77" s="9" t="inlineStr">
        <is>
          <t>IEEE Xplore</t>
        </is>
      </c>
      <c r="I77" s="8">
        <f>IF(B77="","",IF(AND(F77&lt;&gt;"",SUMPRODUCT(--ISNUMBER(SEARCH(Preseleccionados!$A$2:$A$11,F77)))&gt;0),"YA ESTÁ",IF(AND(F77&lt;&gt;"",COUNTIF($F$3:F77,F77)&gt;1),"REPETIDO","")))</f>
        <v/>
      </c>
      <c r="J77" s="8">
        <f>IF(OR(B77="",I77&lt;&gt;""),"",IF(MOD(COUNTIFS($B$3:B77,"&lt;&gt;",$I$3:I77,""),2)=1,"Carlos","Joaquín"))</f>
        <v/>
      </c>
      <c r="K77" s="11" t="inlineStr">
        <is>
          <t>Sale</t>
        </is>
      </c>
      <c r="L77" s="11" t="n"/>
      <c r="M77" s="11" t="n"/>
      <c r="N77" s="11" t="n"/>
      <c r="O77" s="11" t="n"/>
      <c r="P77" s="8">
        <f>IF(J77="","",IF(K77="Sale","Descartado",IF(L77="Sale","Descartado",IF(OR(M77="Q3",M77="Q4",M77="No aparece"),"Descartado",IF(N77="Sale","Descartado",IF(O77="Sigue","APROBADO","En proceso"))))))</f>
        <v/>
      </c>
      <c r="Q77" s="10" t="inlineStr">
        <is>
          <t>School of Computer Science and Engineering, Nanyang Technological University, Jurong West, Singapore; School of Computing and Information Systems, Singapore Management University, Bras Basah, Singapore; School of Computer Science and Engineering, Nanyang Technological University, Jurong West, Singapore; School of Computer Science and Engineering, Nanyang Technological University, Jurong West, Singapore; School of Computer Science and Engineering, Nanyang Technological University, Jurong West, Singapore; School of Computer Science and Engineering, Nanyang Technological University, Jurong West, Singapore; School of Computer Science and Engineering, Nanyang Technological University, Jurong West, Singapore</t>
        </is>
      </c>
      <c r="R77" s="9" t="inlineStr">
        <is>
          <t>Bancos</t>
        </is>
      </c>
    </row>
    <row r="78" hidden="1" ht="60" customHeight="1">
      <c r="A78" s="8">
        <f>IF(B78="","",ROW()-2)</f>
        <v/>
      </c>
      <c r="B78" s="9" t="inlineStr">
        <is>
          <t>Enhancing Anti-Money Laundering Frameworks: An Application of Graph Neural Networks in Cryptocurrency Transaction Classification</t>
        </is>
      </c>
      <c r="C78" s="10" t="inlineStr">
        <is>
          <t>S. Ferretti; G. D’Angelo; V. Ghini</t>
        </is>
      </c>
      <c r="D78" s="9" t="n">
        <v>2025</v>
      </c>
      <c r="E78" s="9" t="inlineStr">
        <is>
          <t>IEEE Access</t>
        </is>
      </c>
      <c r="F78" s="9" t="inlineStr">
        <is>
          <t>10.1109/ACCESS.2025.3552240</t>
        </is>
      </c>
      <c r="G78" s="10" t="inlineStr">
        <is>
          <t>Cryptocurrency money laundering is a pressing issue, as it not only facilitates and hides criminal activities but also disrupts markets and the overall financial system. To respond this challenge, researchers are trying to develop robust Anti-Money Laundering (AML) frameworks. These efforts play a crucial role in promoting societal welfare by mitigating the impact of criminal activities. This paper explores the application of Graph Neural Networks (GNNs) for classifying Bitcoin transactions. The research specifically employs Graph Convolutional Networks (GCNs), Graph Attention Networks (GATs), the Chebyshev spatial convolutional neural networks, and GraphSAGE networks. Based on the dataset analysis, we experiment with different subsets of features. Our findings suggest that the use of Graph Neural Network convolutions, combined with a final linear layer and skip connections, allow for an improvement in the state-of-the-art results, especially when Chebyshev and GATv2 convolutions are used.</t>
        </is>
      </c>
      <c r="H78" s="9" t="inlineStr">
        <is>
          <t>IEEE Xplore</t>
        </is>
      </c>
      <c r="I78" s="8">
        <f>IF(B78="","",IF(AND(F78&lt;&gt;"",SUMPRODUCT(--ISNUMBER(SEARCH(Preseleccionados!$A$2:$A$11,F78)))&gt;0),"YA ESTÁ",IF(AND(F78&lt;&gt;"",COUNTIF($F$3:F78,F78)&gt;1),"REPETIDO","")))</f>
        <v/>
      </c>
      <c r="J78" s="8">
        <f>IF(OR(B78="",I78&lt;&gt;""),"",IF(MOD(COUNTIFS($B$3:B78,"&lt;&gt;",$I$3:I78,""),2)=1,"Carlos","Joaquín"))</f>
        <v/>
      </c>
      <c r="K78" s="11" t="n"/>
      <c r="L78" s="11" t="n"/>
      <c r="M78" s="11" t="n"/>
      <c r="N78" s="11" t="n"/>
      <c r="O78" s="11" t="n"/>
      <c r="P78" s="8">
        <f>IF(J78="","",IF(K78="Sale","Descartado",IF(L78="Sale","Descartado",IF(OR(M78="Q3",M78="Q4",M78="No aparece"),"Descartado",IF(N78="Sale","Descartado",IF(O78="Sigue","APROBADO","En proceso"))))))</f>
        <v/>
      </c>
      <c r="Q78" s="10" t="inlineStr">
        <is>
          <t>Department of Computer Science and Engineering (DISI), University of Bologna, Bologna, Italy; Department of Computer Science and Engineering (DISI), University of Bologna, Bologna, Italy; Department of Computer Science and Engineering (DISI), University of Bologna, Bologna, Italy</t>
        </is>
      </c>
      <c r="R78" s="9" t="inlineStr">
        <is>
          <t>Bancos</t>
        </is>
      </c>
    </row>
    <row r="79" hidden="1" ht="60" customHeight="1">
      <c r="A79" s="8">
        <f>IF(B79="","",ROW()-2)</f>
        <v/>
      </c>
      <c r="B79" s="9" t="inlineStr">
        <is>
          <t>Scalable Semi-Supervised Graph Learning Techniques for Anti Money Laundering</t>
        </is>
      </c>
      <c r="C79" s="10" t="inlineStr">
        <is>
          <t>M. R. Karim; F. Hermsen; S. A. Chala; P. De Perthuis; A. Mandal</t>
        </is>
      </c>
      <c r="D79" s="9" t="n">
        <v>2024</v>
      </c>
      <c r="E79" s="9" t="inlineStr">
        <is>
          <t>IEEE Access</t>
        </is>
      </c>
      <c r="F79" s="9" t="inlineStr">
        <is>
          <t>10.1109/ACCESS.2024.3383784</t>
        </is>
      </c>
      <c r="G79" s="10" t="inlineStr">
        <is>
          <t>Money laundering is the process by which criminals move large sums of illicit money to hidden locations and integrate them as legal funds through existing financial services. The United Nations (UN) estimates that 2 to 5% of global GDP, which is approximately 0.8 to 2.0 trillion dollars, is laundered globally every year. Therefore, accurately identifying such globally alarming activities is crucial for enforcing anti-money laundering (AML) measures. Numerous techniques have been proposed to detect money laundering from transaction graphs of money transfers between bank accounts by analysing the structural and behavioural dynamics of their corresponding dense subgraphs. However, these techniques often do not consider that money laundering usually involves high-volume flows of funds through chains of bank accounts. Moreover, most AML approaches either result in lower detection accuracy or incur higher computational costs, making them less reliable and suitable for real financial systems. Consequently, only a fraction of money laundering activities can be detected and prevented. In this paper, we propose an efficient approach to AML by employing semi-supervised graph learning techniques on a large-scale financial transactional graph in both pipeline settings (i.e., graph embedding models are first trained to generate node embeddings that are combined with additional topological graph features to train binary classifiers) and end-to-end settings (i.e., node classification is performed by training SkipGCN, FastGCN, and EvolveGCN without requiring separate classifiers) to identify nodes involved in potential money laundering activities. We evaluate our approach on four datasets: AMLSim, Elliptic, IBM AML, and SynthAML, with a view to scalability and practicality for real financial systems. Further, we provide local (e.g., how money is laundered between nodes) and global (e.g., what factors contribute to money laundering) explanations of the predictions by highlighting the predominant factors in money laundering cases and elucidating the mechanisms of illicit fund transfers between nodes to enhance the interpretability and transparency of the AML models. Experimental results suggest that our approach is scalable and effective at detecting money laundering from real and synthetic transaction graphs.</t>
        </is>
      </c>
      <c r="H79" s="9" t="inlineStr">
        <is>
          <t>IEEE Xplore</t>
        </is>
      </c>
      <c r="I79" s="8">
        <f>IF(B79="","",IF(AND(F79&lt;&gt;"",SUMPRODUCT(--ISNUMBER(SEARCH(Preseleccionados!$A$2:$A$11,F79)))&gt;0),"YA ESTÁ",IF(AND(F79&lt;&gt;"",COUNTIF($F$3:F79,F79)&gt;1),"REPETIDO","")))</f>
        <v/>
      </c>
      <c r="J79" s="8">
        <f>IF(OR(B79="",I79&lt;&gt;""),"",IF(MOD(COUNTIFS($B$3:B79,"&lt;&gt;",$I$3:I79,""),2)=1,"Carlos","Joaquín"))</f>
        <v/>
      </c>
      <c r="K79" s="11" t="n"/>
      <c r="L79" s="11" t="n"/>
      <c r="M79" s="11" t="n"/>
      <c r="N79" s="11" t="n"/>
      <c r="O79" s="11" t="n"/>
      <c r="P79" s="8">
        <f>IF(J79="","",IF(K79="Sale","Descartado",IF(L79="Sale","Descartado",IF(OR(M79="Q3",M79="Q4",M79="No aparece"),"Descartado",IF(N79="Sale","Descartado",IF(O79="Sigue","APROBADO","En proceso"))))))</f>
        <v/>
      </c>
      <c r="Q79" s="10" t="inlineStr">
        <is>
          <t>Information Systems and Databases, RWTH Aachen University, Aachen, Germany; Information Systems and Databases, RWTH Aachen University, Aachen, Germany; Information Systems and Databases, RWTH Aachen University, Aachen, Germany; École Normale Supérieure (ENS), Paris, France; Department of Data Science and Artificial Intelligence, Fraunhofer FIT, Sankt Augustin, Germany</t>
        </is>
      </c>
      <c r="R79" s="9" t="inlineStr">
        <is>
          <t>Bancos</t>
        </is>
      </c>
    </row>
    <row r="80" hidden="1" ht="60" customHeight="1">
      <c r="A80" s="8">
        <f>IF(B80="","",ROW()-2)</f>
        <v/>
      </c>
      <c r="B80" s="9" t="inlineStr">
        <is>
          <t>Anti-Money Laundering by Group-Aware Deep Graph Learning</t>
        </is>
      </c>
      <c r="C80" s="10" t="inlineStr">
        <is>
          <t>D. Cheng; Y. Ye; S. Xiang; Z. Ma; Y. Zhang; C. Jiang</t>
        </is>
      </c>
      <c r="D80" s="9" t="n">
        <v>2023</v>
      </c>
      <c r="E80" s="9" t="inlineStr">
        <is>
          <t>IEEE Transactions on Knowledge and Data Engineering</t>
        </is>
      </c>
      <c r="F80" s="9" t="inlineStr">
        <is>
          <t>10.1109/TKDE.2023.3272396</t>
        </is>
      </c>
      <c r="G80" s="10" t="inlineStr">
        <is>
          <t>Anti-money laundering (AML) is a classical data mining problem in finance applications. As well known, money laundering (ML) is critical to the effective operation of transnational and organized crime, which affects a country's economy, government, and social wellbeings. Financial services organizations facilitate the movement of money and have been enlisted by governments to assist with the detection and prevention of money laundering, which is a key tool in the fight to reduce crime and create sustainable economic development. In the application of AML, user identity and financial behavior data are widely used to detect laundering transactions. In recent years, an increasing number of money laundering activities have been conducted by organized criminal gangs while most existing works still treat the actions of each account as independent identity behavior without considering the group-level conspired interactions. Therefore, in this paper, we propose a group-aware deep graph learning-based approach for organized money-laundering detection. In particular, we design a community-centric encoder to represent the nodes and attributes in user transaction graphs and derive the adjacent gang behaviors. Then, we devise a scheme of local enhancement to accommodate nodes with similar transaction features, which are aggregated into gangs for downstream detection. Extensive experiments on the real-world dataset from one of the largest bank card alliances worldwide show that our proposed method outperforms state-of-the-art methods in both offline and online modes, showing the effectiveness of money laundering detection with group-aware deep graph learning.</t>
        </is>
      </c>
      <c r="H80" s="9" t="inlineStr">
        <is>
          <t>IEEE Xplore</t>
        </is>
      </c>
      <c r="I80" s="8">
        <f>IF(B80="","",IF(AND(F80&lt;&gt;"",SUMPRODUCT(--ISNUMBER(SEARCH(Preseleccionados!$A$2:$A$11,F80)))&gt;0),"YA ESTÁ",IF(AND(F80&lt;&gt;"",COUNTIF($F$3:F80,F80)&gt;1),"REPETIDO","")))</f>
        <v/>
      </c>
      <c r="J80" s="8">
        <f>IF(OR(B80="",I80&lt;&gt;""),"",IF(MOD(COUNTIFS($B$3:B80,"&lt;&gt;",$I$3:I80,""),2)=1,"Carlos","Joaquín"))</f>
        <v/>
      </c>
      <c r="K80" s="11" t="n"/>
      <c r="L80" s="11" t="n"/>
      <c r="M80" s="11" t="n"/>
      <c r="N80" s="11" t="n"/>
      <c r="O80" s="11" t="n"/>
      <c r="P80" s="8">
        <f>IF(J80="","",IF(K80="Sale","Descartado",IF(L80="Sale","Descartado",IF(OR(M80="Q3",M80="Q4",M80="No aparece"),"Descartado",IF(N80="Sale","Descartado",IF(O80="Sigue","APROBADO","En proceso"))))))</f>
        <v/>
      </c>
      <c r="Q80" s="10" t="inlineStr">
        <is>
          <t>Department of Computer Science and Technology, Tongji University, Shanghai, China; Department of Computer Science and Technology, Tongji University, Shanghai, China; School of Computer and Information Engineering, Zhejiang Gongshang University, Hangzhou, China; Research and Development Center of Financial Safety, China UnionPay Company, Ltd., Shanghai, China; School of Computer and Information Engineering, Zhejiang Gongshang University, Hangzhou, China; Department of Computer Science and Technology, Tongji University, Shanghai, China</t>
        </is>
      </c>
      <c r="R80" s="9" t="inlineStr">
        <is>
          <t>Bancos</t>
        </is>
      </c>
    </row>
    <row r="81" ht="60" customHeight="1">
      <c r="A81" s="8">
        <f>IF(B81="","",ROW()-2)</f>
        <v/>
      </c>
      <c r="B81" s="9" t="inlineStr">
        <is>
          <t>SF-DynFinGC: Scale-Free Dynamic Graph Construction for Event-Driven Spatiotemporal Learning in Financial Anomaly Detection</t>
        </is>
      </c>
      <c r="C81" s="10" t="inlineStr">
        <is>
          <t>Y. Chen; H. Zhu; H. Xu; C. Yi; Z. Chen; D. Landa-Silva</t>
        </is>
      </c>
      <c r="D81" s="9" t="n">
        <v>2026</v>
      </c>
      <c r="E81" s="9" t="inlineStr">
        <is>
          <t>IEEE Transactions on Artificial Intelligence</t>
        </is>
      </c>
      <c r="F81" s="9" t="inlineStr">
        <is>
          <t>10.1109/TAI.2026.3698049</t>
        </is>
      </c>
      <c r="G81" s="10" t="inlineStr">
        <is>
          <t>Existing machine learning methods for financial anomaly detection (FAD) typically overlook the complex spatiotemporal interactions inherent in financial data, significantly limiting detection accuracy and interpretability. While graph-based approaches have shown promise in modeling relational structures, existing methods mainly rely on static or overly simplistic dynamic graph constructions, struggling to capture these complex spatiotemporal interactions. To address these limitations, we propose SF-DynFinGC, a novel dynamic graph construction framework specifically tailored for event-driven spatiotemporal learning in FAD. SF-DynFinGC integrates scale-free structural regularization with a decay-governed global Top-k edge selection strategy, effectively reflecting real-world hierarchical and dispersed financial network characteristics. Through dynamically evolving graph structures triggered by financial events rather than fixed intervals, SF-DynFinGC accommodates irregular temporal and spatial data distributions. Comprehensive experiments on various benchmark datasets demonstrate that SF-DynFinGC consistently achieves state-of-the-art performance across graph neural network (GNN) and traditional classifiers, significantly outperforming existing static and dynamic graph construction approaches. Structural analyses further reveal that SF-DynFinGC generates interpretable and appropriately sparse graphs, highlighting critical transactional relationships indicative of complex anomaly patterns. This study provides a robust and interpretable dynamic graph construction framework that enhances both detection accuracy and analytical transparency, thereby extending the practical applicability of graph-based methods in financial risk management.</t>
        </is>
      </c>
      <c r="H81" s="9" t="inlineStr">
        <is>
          <t>IEEE Xplore</t>
        </is>
      </c>
      <c r="I81" s="8">
        <f>IF(B81="","",IF(AND(F81&lt;&gt;"",SUMPRODUCT(--ISNUMBER(SEARCH(Preseleccionados!$A$2:$A$11,F81)))&gt;0),"YA ESTÁ",IF(AND(F81&lt;&gt;"",COUNTIF($F$3:F81,F81)&gt;1),"REPETIDO","")))</f>
        <v/>
      </c>
      <c r="J81" s="8">
        <f>IF(OR(B81="",I81&lt;&gt;""),"",IF(MOD(COUNTIFS($B$3:B81,"&lt;&gt;",$I$3:I81,""),2)=1,"Carlos","Joaquín"))</f>
        <v/>
      </c>
      <c r="K81" s="11" t="inlineStr">
        <is>
          <t>Sigue</t>
        </is>
      </c>
      <c r="L81" s="11" t="inlineStr">
        <is>
          <t>Sigue</t>
        </is>
      </c>
      <c r="M81" s="11" t="n"/>
      <c r="N81" s="11" t="n"/>
      <c r="O81" s="11" t="n"/>
      <c r="P81" s="8">
        <f>IF(J81="","",IF(K81="Sale","Descartado",IF(L81="Sale","Descartado",IF(OR(M81="Q3",M81="Q4",M81="No aparece"),"Descartado",IF(N81="Sale","Descartado",IF(O81="Sigue","APROBADO","En proceso"))))))</f>
        <v/>
      </c>
      <c r="Q81" s="10" t="inlineStr">
        <is>
          <t>School of Computer Science, University of Nottingham Malaysia, Selangor, Malaysia; School of Medicine and Health, Harbin Institute of Technology, Harbin, China; Faculty of Computing, Harbin Institute of Technology, Harbin, China; School of Medicine and Health, Harbin Institute of Technology, Harbin, China; School of Computer Science, University of Nottingham Malaysia, Selangor, Malaysia; School of Computer Science, University of Nottingham, Nottingham, U.K.</t>
        </is>
      </c>
      <c r="R81" s="9" t="inlineStr">
        <is>
          <t>Bancos</t>
        </is>
      </c>
    </row>
    <row r="82" hidden="1" ht="60" customHeight="1">
      <c r="A82" s="8">
        <f>IF(B82="","",ROW()-2)</f>
        <v/>
      </c>
      <c r="B82" s="9" t="inlineStr">
        <is>
          <t>U.S.-U.K. PETs Prize Challenge: Anomaly Detection via Privacy-Enhanced Federated Learning</t>
        </is>
      </c>
      <c r="C82" s="10" t="inlineStr">
        <is>
          <t>H. Asif; S. Min; X. Wang; J. Vaidya</t>
        </is>
      </c>
      <c r="D82" s="9" t="n">
        <v>2024</v>
      </c>
      <c r="E82" s="9" t="inlineStr">
        <is>
          <t>IEEE Transactions on Privacy</t>
        </is>
      </c>
      <c r="F82" s="9" t="inlineStr">
        <is>
          <t>10.1109/TP.2024.3392721</t>
        </is>
      </c>
      <c r="G82" s="10" t="inlineStr">
        <is>
          <t>Privacy Enhancing Technologies (PETs) have the potential to enable collaborative analytics without compromising privacy. This is extremely important for collaborative analytics can allow us to really extract value from the large amounts of data that are collected in domains such as healthcare, finance, and national security, among others. In order to foster innovation and move PETs from the research labs to actual deployment, the U.S. and U.K. governments partnered together in 2021 to propose the PETs prize challenge asking for privacy-enhancing solutions for two of the biggest problems facing us today: financial crime prevention and pandemic response. This article presents the Rutgers ScarletPets privacy-preserving federated learning approach to identify anomalous financial transactions in a payment network system (PNS). This approach utilizes a two-step anomaly detection methodology to solve the problem. In the first step, features are mined based on account-level data and labels, and then a privacy-preserving encoding scheme is used to augment these features to the data held by the PNS. In the second step, the PNS learns a highly accurate classifier from the augmented data. Our proposed approach has two major advantages: 1) there is no noteworthy drop in accuracy between the federated and the centralized setting, and 2) our approach is flexible since the PNS can keep improving its model and features to build a better classifier without imposing any additional computational or privacy burden on the banks. Notably, our solution won the first prize in the US for its privacy, utility, efficiency, and flexibility.</t>
        </is>
      </c>
      <c r="H82" s="9" t="inlineStr">
        <is>
          <t>IEEE Xplore</t>
        </is>
      </c>
      <c r="I82" s="8">
        <f>IF(B82="","",IF(AND(F82&lt;&gt;"",SUMPRODUCT(--ISNUMBER(SEARCH(Preseleccionados!$A$2:$A$11,F82)))&gt;0),"YA ESTÁ",IF(AND(F82&lt;&gt;"",COUNTIF($F$3:F82,F82)&gt;1),"REPETIDO","")))</f>
        <v/>
      </c>
      <c r="J82" s="8">
        <f>IF(OR(B82="",I82&lt;&gt;""),"",IF(MOD(COUNTIFS($B$3:B82,"&lt;&gt;",$I$3:I82,""),2)=1,"Carlos","Joaquín"))</f>
        <v/>
      </c>
      <c r="K82" s="11" t="n"/>
      <c r="L82" s="11" t="n"/>
      <c r="M82" s="11" t="n"/>
      <c r="N82" s="11" t="n"/>
      <c r="O82" s="11" t="n"/>
      <c r="P82" s="8">
        <f>IF(J82="","",IF(K82="Sale","Descartado",IF(L82="Sale","Descartado",IF(OR(M82="Q3",M82="Q4",M82="No aparece"),"Descartado",IF(N82="Sale","Descartado",IF(O82="Sigue","APROBADO","En proceso"))))))</f>
        <v/>
      </c>
      <c r="Q82" s="10" t="inlineStr">
        <is>
          <t>Information Systems and Business Analytics Department, Hofstra University, Hempstead, NY, USA; Management Science and Information Systems Department, Rutgers University, Newark, NJ, USA; Management Science and Information Systems Department, Rutgers University, Newark, NJ, USA; Management Science and Information Systems Department, Rutgers University, Newark, NJ, USA</t>
        </is>
      </c>
      <c r="R82" s="9" t="inlineStr">
        <is>
          <t>Bancos</t>
        </is>
      </c>
    </row>
    <row r="83" ht="60" customHeight="1">
      <c r="A83" s="8">
        <f>IF(B83="","",ROW()-2)</f>
        <v/>
      </c>
      <c r="B83" s="9" t="inlineStr">
        <is>
          <t>Regulatable and Privacy-Preserving Blockchain via Anomaly Detection on Private Transactions</t>
        </is>
      </c>
      <c r="C83" s="10" t="inlineStr">
        <is>
          <t>L. Yi; J. Liu; Z. Wan; K. Ren; C. Chen</t>
        </is>
      </c>
      <c r="D83" s="9" t="n">
        <v>2025</v>
      </c>
      <c r="E83" s="9" t="inlineStr">
        <is>
          <t>IEEE Transactions on Information Forensics and Security</t>
        </is>
      </c>
      <c r="F83" s="9" t="inlineStr">
        <is>
          <t>10.1109/TIFS.2025.3628110</t>
        </is>
      </c>
      <c r="G83" s="10" t="inlineStr">
        <is>
          <t>The recent popularity of cryptocurrencies like Bitcoin and Ethereum has drawn widespread attention to the blockchain technique. In particular, some private cryptocurrencies like Zerocash and Monero enhance privacy protection by concealing the identities of participants and transaction amounts. However, such comprehensive privacy measures present regulatory challenges to malicious activities like money laundering and extortion. Therefore, building a novel blockchain that maintains privacy while supporting regulatory oversight is crucial. In this paper, we propose a regulatable and privacy-preserving blockchain scheme that introduces a decoupled and preparatory regulatory process. It serves as a privacy-preserving first line of defense, enabling the identification of anomalous transactions without compromising the confidentiality of the underlying data. Our approach pioneers a method for anomaly screening on private transactions, mitigating risks without resorting to key escrow or content recovery, thus preserving end-to-end privacy for legitimate users. Initially, we explore suitable transaction features within private blockchains for training machine learning classifiers to detect anomalous behaviors. Subsequently, we customize a privacy-centric classifier employing homomorphic encryption to achieve private computation of anomaly detection without leaking sensitive information from private transaction content. We then construct the zero-knowledge proof for validating the encrypted computation process. Our work pioneers in fully integrating homomorphic encryption with zero-knowledge proof, enabling credible and trustworthy verification of the homomorphic ciphertext computations. Finally, we conduct comprehensive security analysis and experimental simulations. The experimental results demonstrate the efficiency and scalability of our approach.</t>
        </is>
      </c>
      <c r="H83" s="9" t="inlineStr">
        <is>
          <t>IEEE Xplore</t>
        </is>
      </c>
      <c r="I83" s="8">
        <f>IF(B83="","",IF(AND(F83&lt;&gt;"",SUMPRODUCT(--ISNUMBER(SEARCH(Preseleccionados!$A$2:$A$11,F83)))&gt;0),"YA ESTÁ",IF(AND(F83&lt;&gt;"",COUNTIF($F$3:F83,F83)&gt;1),"REPETIDO","")))</f>
        <v/>
      </c>
      <c r="J83" s="8">
        <f>IF(OR(B83="",I83&lt;&gt;""),"",IF(MOD(COUNTIFS($B$3:B83,"&lt;&gt;",$I$3:I83,""),2)=1,"Carlos","Joaquín"))</f>
        <v/>
      </c>
      <c r="K83" s="11" t="inlineStr">
        <is>
          <t>Sale</t>
        </is>
      </c>
      <c r="L83" s="11" t="n"/>
      <c r="M83" s="11" t="n"/>
      <c r="N83" s="11" t="n"/>
      <c r="O83" s="11" t="n"/>
      <c r="P83" s="8">
        <f>IF(J83="","",IF(K83="Sale","Descartado",IF(L83="Sale","Descartado",IF(OR(M83="Q3",M83="Q4",M83="No aparece"),"Descartado",IF(N83="Sale","Descartado",IF(O83="Sigue","APROBADO","En proceso"))))))</f>
        <v/>
      </c>
      <c r="Q83" s="10" t="inlineStr">
        <is>
          <t>Zhejiang University, Hangzhou, Zhejiang, China; Zhejiang University, Hangzhou, Zhejiang, China; Zhejiang Lab, Hangzhou, Zhejiang, China; Zhejiang University, Hangzhou, Zhejiang, China; Zhejiang University, Hangzhou, Zhejiang, China</t>
        </is>
      </c>
      <c r="R83" s="9" t="inlineStr">
        <is>
          <t>Bancos</t>
        </is>
      </c>
    </row>
    <row r="84" hidden="1" ht="60" customHeight="1">
      <c r="A84" s="8">
        <f>IF(B84="","",ROW()-2)</f>
        <v/>
      </c>
      <c r="B84" s="9" t="inlineStr">
        <is>
          <t>GAPLG: Graph Augmented With Pseudolabels Generation for Blockchain Anomaly Transaction Detection</t>
        </is>
      </c>
      <c r="C84" s="10" t="inlineStr">
        <is>
          <t>J. Huang; K. Bu; H. Han; B. Gong; A. Xiong; W. Wang; Q. Wu</t>
        </is>
      </c>
      <c r="D84" s="9" t="n">
        <v>2025</v>
      </c>
      <c r="E84" s="9" t="inlineStr">
        <is>
          <t>IEEE Transactions on Computational Social Systems</t>
        </is>
      </c>
      <c r="F84" s="9" t="inlineStr">
        <is>
          <t>10.1109/TCSS.2025.3555658</t>
        </is>
      </c>
      <c r="G84" s="10" t="inlineStr">
        <is>
          <t>Cryptocurrencies, underpinned by blockchain technology, face persistent threats such as money laundering and extortion due to their decentralized and anonymous nature. Detecting fraudulent transactions is crucial for ensuring the security of blockchain systems. However, the existing detection methods face the following challenges: lack of labeled data, severe class imbalance in labeled data, complex network structure, numerous parameters, and long training time. To address these challenges, we propose a novel semisupervised learning framework that combines the graph augmented with pseudolabels generation (GAPLG) model and postprocessing technique. Our framework employs graph learning networks to elucidate relationships between transactions and users. By utilizing pseudolabels for unlabeled transaction data and embedding them onto diverse graph nodes, we achieve precise labels, enhancing prediction accuracy. Additionally, we employ specific postprocessing technique, such as correction and smoothing (C&amp;S) technology, to rectify residuals and refine labels, ensuring our framework rivals the best parameter and baseline models. Our method boasts high scalability and flexibility, aiding in optimizing various evaluation indicators. Experimental verification through multiple real transaction datasets under varying data segmentations, demonstrated its effectiveness when compared with other representative frameworks. The analysis validates the effectiveness and benefits of our method.</t>
        </is>
      </c>
      <c r="H84" s="9" t="inlineStr">
        <is>
          <t>IEEE Xplore</t>
        </is>
      </c>
      <c r="I84" s="8">
        <f>IF(B84="","",IF(AND(F84&lt;&gt;"",SUMPRODUCT(--ISNUMBER(SEARCH(Preseleccionados!$A$2:$A$11,F84)))&gt;0),"YA ESTÁ",IF(AND(F84&lt;&gt;"",COUNTIF($F$3:F84,F84)&gt;1),"REPETIDO","")))</f>
        <v/>
      </c>
      <c r="J84" s="8">
        <f>IF(OR(B84="",I84&lt;&gt;""),"",IF(MOD(COUNTIFS($B$3:B84,"&lt;&gt;",$I$3:I84,""),2)=1,"Carlos","Joaquín"))</f>
        <v/>
      </c>
      <c r="K84" s="11" t="n"/>
      <c r="L84" s="11" t="n"/>
      <c r="M84" s="11" t="n"/>
      <c r="N84" s="11" t="n"/>
      <c r="O84" s="11" t="n"/>
      <c r="P84" s="8">
        <f>IF(J84="","",IF(K84="Sale","Descartado",IF(L84="Sale","Descartado",IF(OR(M84="Q3",M84="Q4",M84="No aparece"),"Descartado",IF(N84="Sale","Descartado",IF(O84="Sigue","APROBADO","En proceso"))))))</f>
        <v/>
      </c>
      <c r="Q84" s="10" t="inlineStr">
        <is>
          <t>Faculty of Information Technology, Beijing University of Technology, Beijing, China; Faculty of Information Technology, Beijing University of Technology, Beijing, China; Faculty of Information Technology, Beijing University of Technology, Beijing, China; Faculty of Information Technology, Beijing University of Technology, Beijing, China; State Key Laboratory of Networking and Switching Technology, Beijing University of Posts and Telecommunications, Beijing, China; College of Electronic and Information Engineering, Nanjing University of Aeronautics and Astronautics, Nanjing, China; College of Electronic and Information Engineering, Nanjing University of Aeronautics and Astronautics, Nanjing, China</t>
        </is>
      </c>
      <c r="R84" s="9" t="inlineStr">
        <is>
          <t>Bancos</t>
        </is>
      </c>
    </row>
    <row r="85" hidden="1" ht="60" customHeight="1">
      <c r="A85" s="8">
        <f>IF(B85="","",ROW()-2)</f>
        <v/>
      </c>
      <c r="B85" s="9" t="inlineStr">
        <is>
          <t>Optimization of Deep Learning-Based Model for Identification of Credit Card Frauds</t>
        </is>
      </c>
      <c r="C85" s="10" t="inlineStr">
        <is>
          <t>H. Palivela; V. Rishiwal; S. Bhushan; A. Alotaibi; U. Agarwal; P. Kumar; M. Yadav</t>
        </is>
      </c>
      <c r="D85" s="9" t="n">
        <v>2024</v>
      </c>
      <c r="E85" s="9" t="inlineStr">
        <is>
          <t>IEEE Access</t>
        </is>
      </c>
      <c r="F85" s="9" t="inlineStr">
        <is>
          <t>10.1109/ACCESS.2024.3440637</t>
        </is>
      </c>
      <c r="G85" s="10" t="inlineStr">
        <is>
          <t>With the growth of the internet, the landscape of commercial transactions has undergone significant changes. The digital revolution has permeated various aspects of our daily lives, notably transforming the financial system through digital money transfers across global distances. Digital transactions, including online purchases, money transfers, banking, and investing, have become routine. This shift has provided many advantages and opened the door for illegal activities such as money laundering. This research aims to identify transaction patterns to help algorithms recognize and flag scammers. We propose a deep learning-based sequential model framework to optimize fraud and non-fraud transaction classification. Proposed approach incorporates methods of ensemble learning including Gradient Boost, Random Forest, Logistic Regression, and Voting Classifiers, along with hyperparameter tuning to prevent overfitting. To solve the dataset inconsistency common in credit card dataset, we used techniques like under-sampling and the Synthetic Minority Over-sampling Technique (SMOTE) with specific machine learning (ML) algorithms. Our methodology involves data pre-processing, feature engineering, model selection, and evaluation. We leveraged the computational power of Google Colab for efficient model training and testing. Temporal features were extracted to capture transaction patterns over time, such as frequency and timing, along with features based on transaction amounts, merchant types, and geographic locations to detect subtle anomalies indicative of fraud. These features were input into a supervised learning algorithm, resulting in a model significantly outperforming baseline methods. The model was tested using a sizable dataset of anonymized transactions made with credit cards, and its effectiveness was measured using metrics such as accuracy, precision, recall, and F1-score. While it cannot entirely prevent fraudulent transactions, it effectively manages false positives through careful review, achieving an accuracy of 99.59%, surpassing other innovative models.</t>
        </is>
      </c>
      <c r="H85" s="9" t="inlineStr">
        <is>
          <t>IEEE Xplore</t>
        </is>
      </c>
      <c r="I85" s="8">
        <f>IF(B85="","",IF(AND(F85&lt;&gt;"",SUMPRODUCT(--ISNUMBER(SEARCH(Preseleccionados!$A$2:$A$11,F85)))&gt;0),"YA ESTÁ",IF(AND(F85&lt;&gt;"",COUNTIF($F$3:F85,F85)&gt;1),"REPETIDO","")))</f>
        <v/>
      </c>
      <c r="J85" s="8">
        <f>IF(OR(B85="",I85&lt;&gt;""),"",IF(MOD(COUNTIFS($B$3:B85,"&lt;&gt;",$I$3:I85,""),2)=1,"Carlos","Joaquín"))</f>
        <v/>
      </c>
      <c r="K85" s="11" t="n"/>
      <c r="L85" s="11" t="n"/>
      <c r="M85" s="11" t="n"/>
      <c r="N85" s="11" t="n"/>
      <c r="O85" s="11" t="n"/>
      <c r="P85" s="8">
        <f>IF(J85="","",IF(K85="Sale","Descartado",IF(L85="Sale","Descartado",IF(OR(M85="Q3",M85="Q4",M85="No aparece"),"Descartado",IF(N85="Sale","Descartado",IF(O85="Sigue","APROBADO","En proceso"))))))</f>
        <v/>
      </c>
      <c r="Q85" s="10" t="inlineStr">
        <is>
          <t>Damac Properties, LLC, Dubai, United Arab Emirates; Department of CSIT, M.J.P. Rohilkhand University, Bareilly, India; Department of CIS, Universiti Teknologi PETRONAS, Seri Iskandar, Perak, Malaysia; Department of Computer Science, College of Computers and Information Technology, Taif University, Taif, Saudi Arabia; Department of CSIT, RBMI Group of Institutions, Bareilly, India; Department of Computer Science and Engineering, Swami Rama Himalayan University, Dehradun, India; Department of Computer Science, Bareilly College, Bareilly, India</t>
        </is>
      </c>
      <c r="R85" s="9" t="inlineStr">
        <is>
          <t>Bancos</t>
        </is>
      </c>
    </row>
    <row r="86" ht="15" customHeight="1">
      <c r="A86" s="8">
        <f>IF(B86="","",ROW()-2)</f>
        <v/>
      </c>
      <c r="B86" s="9" t="n"/>
      <c r="C86" s="9" t="n"/>
      <c r="D86" s="12" t="n"/>
      <c r="E86" s="9" t="n"/>
      <c r="F86" s="9" t="n"/>
      <c r="G86" s="9" t="n"/>
      <c r="H86" s="12" t="n"/>
      <c r="I86" s="8">
        <f>IF(B86="","",IF(AND(F86&lt;&gt;"",SUMPRODUCT(--ISNUMBER(SEARCH(Preseleccionados!$A$2:$A$11,F86)))&gt;0),"YA ESTÁ",IF(AND(F86&lt;&gt;"",COUNTIF($F$3:F86,F86)&gt;1),"REPETIDO","")))</f>
        <v/>
      </c>
      <c r="J86" s="8">
        <f>IF(OR(B86="",I86&lt;&gt;""),"",IF(MOD(COUNTIFS($B$3:B86,"&lt;&gt;",$I$3:I86,""),2)=1,"Carlos","Joaquín"))</f>
        <v/>
      </c>
      <c r="K86" s="11" t="n"/>
      <c r="L86" s="11" t="n"/>
      <c r="M86" s="11" t="n"/>
      <c r="N86" s="11" t="n"/>
      <c r="O86" s="11" t="n"/>
      <c r="P86" s="8">
        <f>IF(J86="","",IF(K86="Sale","Descartado",IF(L86="Sale","Descartado",IF(OR(M86="Q3",M86="Q4",M86="No aparece"),"Descartado",IF(N86="Sale","Descartado",IF(O86="Sigue","APROBADO","En proceso"))))))</f>
        <v/>
      </c>
    </row>
    <row r="87" ht="15" customHeight="1">
      <c r="A87" s="8">
        <f>IF(B87="","",ROW()-2)</f>
        <v/>
      </c>
      <c r="B87" s="9" t="n"/>
      <c r="C87" s="9" t="n"/>
      <c r="D87" s="12" t="n"/>
      <c r="E87" s="9" t="n"/>
      <c r="F87" s="9" t="n"/>
      <c r="G87" s="9" t="n"/>
      <c r="H87" s="12" t="n"/>
      <c r="I87" s="8">
        <f>IF(B87="","",IF(AND(F87&lt;&gt;"",SUMPRODUCT(--ISNUMBER(SEARCH(Preseleccionados!$A$2:$A$11,F87)))&gt;0),"YA ESTÁ",IF(AND(F87&lt;&gt;"",COUNTIF($F$3:F87,F87)&gt;1),"REPETIDO","")))</f>
        <v/>
      </c>
      <c r="J87" s="8">
        <f>IF(OR(B87="",I87&lt;&gt;""),"",IF(MOD(COUNTIFS($B$3:B87,"&lt;&gt;",$I$3:I87,""),2)=1,"Carlos","Joaquín"))</f>
        <v/>
      </c>
      <c r="K87" s="11" t="n"/>
      <c r="L87" s="11" t="n"/>
      <c r="M87" s="11" t="n"/>
      <c r="N87" s="11" t="n"/>
      <c r="O87" s="11" t="n"/>
      <c r="P87" s="8">
        <f>IF(J87="","",IF(K87="Sale","Descartado",IF(L87="Sale","Descartado",IF(OR(M87="Q3",M87="Q4",M87="No aparece"),"Descartado",IF(N87="Sale","Descartado",IF(O87="Sigue","APROBADO","En proceso"))))))</f>
        <v/>
      </c>
    </row>
    <row r="88" ht="15" customHeight="1">
      <c r="A88" s="8">
        <f>IF(B88="","",ROW()-2)</f>
        <v/>
      </c>
      <c r="B88" s="9" t="n"/>
      <c r="C88" s="9" t="n"/>
      <c r="D88" s="12" t="n"/>
      <c r="E88" s="9" t="n"/>
      <c r="F88" s="9" t="n"/>
      <c r="G88" s="9" t="n"/>
      <c r="H88" s="12" t="n"/>
      <c r="I88" s="8">
        <f>IF(B88="","",IF(AND(F88&lt;&gt;"",SUMPRODUCT(--ISNUMBER(SEARCH(Preseleccionados!$A$2:$A$11,F88)))&gt;0),"YA ESTÁ",IF(AND(F88&lt;&gt;"",COUNTIF($F$3:F88,F88)&gt;1),"REPETIDO","")))</f>
        <v/>
      </c>
      <c r="J88" s="8">
        <f>IF(OR(B88="",I88&lt;&gt;""),"",IF(MOD(COUNTIFS($B$3:B88,"&lt;&gt;",$I$3:I88,""),2)=1,"Carlos","Joaquín"))</f>
        <v/>
      </c>
      <c r="K88" s="11" t="n"/>
      <c r="L88" s="11" t="n"/>
      <c r="M88" s="11" t="n"/>
      <c r="N88" s="11" t="n"/>
      <c r="O88" s="11" t="n"/>
      <c r="P88" s="8">
        <f>IF(J88="","",IF(K88="Sale","Descartado",IF(L88="Sale","Descartado",IF(OR(M88="Q3",M88="Q4",M88="No aparece"),"Descartado",IF(N88="Sale","Descartado",IF(O88="Sigue","APROBADO","En proceso"))))))</f>
        <v/>
      </c>
    </row>
    <row r="89" ht="15" customHeight="1">
      <c r="A89" s="8">
        <f>IF(B89="","",ROW()-2)</f>
        <v/>
      </c>
      <c r="B89" s="9" t="n"/>
      <c r="C89" s="9" t="n"/>
      <c r="D89" s="12" t="n"/>
      <c r="E89" s="9" t="n"/>
      <c r="F89" s="9" t="n"/>
      <c r="G89" s="9" t="n"/>
      <c r="H89" s="12" t="n"/>
      <c r="I89" s="8">
        <f>IF(B89="","",IF(AND(F89&lt;&gt;"",SUMPRODUCT(--ISNUMBER(SEARCH(Preseleccionados!$A$2:$A$11,F89)))&gt;0),"YA ESTÁ",IF(AND(F89&lt;&gt;"",COUNTIF($F$3:F89,F89)&gt;1),"REPETIDO","")))</f>
        <v/>
      </c>
      <c r="J89" s="8">
        <f>IF(OR(B89="",I89&lt;&gt;""),"",IF(MOD(COUNTIFS($B$3:B89,"&lt;&gt;",$I$3:I89,""),2)=1,"Carlos","Joaquín"))</f>
        <v/>
      </c>
      <c r="K89" s="11" t="n"/>
      <c r="L89" s="11" t="n"/>
      <c r="M89" s="11" t="n"/>
      <c r="N89" s="11" t="n"/>
      <c r="O89" s="11" t="n"/>
      <c r="P89" s="8">
        <f>IF(J89="","",IF(K89="Sale","Descartado",IF(L89="Sale","Descartado",IF(OR(M89="Q3",M89="Q4",M89="No aparece"),"Descartado",IF(N89="Sale","Descartado",IF(O89="Sigue","APROBADO","En proceso"))))))</f>
        <v/>
      </c>
    </row>
    <row r="90" ht="15" customHeight="1">
      <c r="A90" s="8">
        <f>IF(B90="","",ROW()-2)</f>
        <v/>
      </c>
      <c r="B90" s="9" t="n"/>
      <c r="C90" s="9" t="n"/>
      <c r="D90" s="12" t="n"/>
      <c r="E90" s="9" t="n"/>
      <c r="F90" s="9" t="n"/>
      <c r="G90" s="9" t="n"/>
      <c r="H90" s="12" t="n"/>
      <c r="I90" s="8">
        <f>IF(B90="","",IF(AND(F90&lt;&gt;"",SUMPRODUCT(--ISNUMBER(SEARCH(Preseleccionados!$A$2:$A$11,F90)))&gt;0),"YA ESTÁ",IF(AND(F90&lt;&gt;"",COUNTIF($F$3:F90,F90)&gt;1),"REPETIDO","")))</f>
        <v/>
      </c>
      <c r="J90" s="8">
        <f>IF(OR(B90="",I90&lt;&gt;""),"",IF(MOD(COUNTIFS($B$3:B90,"&lt;&gt;",$I$3:I90,""),2)=1,"Carlos","Joaquín"))</f>
        <v/>
      </c>
      <c r="K90" s="11" t="n"/>
      <c r="L90" s="11" t="n"/>
      <c r="M90" s="11" t="n"/>
      <c r="N90" s="11" t="n"/>
      <c r="O90" s="11" t="n"/>
      <c r="P90" s="8">
        <f>IF(J90="","",IF(K90="Sale","Descartado",IF(L90="Sale","Descartado",IF(OR(M90="Q3",M90="Q4",M90="No aparece"),"Descartado",IF(N90="Sale","Descartado",IF(O90="Sigue","APROBADO","En proceso"))))))</f>
        <v/>
      </c>
    </row>
    <row r="91" ht="15" customHeight="1">
      <c r="A91" s="8">
        <f>IF(B91="","",ROW()-2)</f>
        <v/>
      </c>
      <c r="B91" s="9" t="n"/>
      <c r="C91" s="9" t="n"/>
      <c r="D91" s="12" t="n"/>
      <c r="E91" s="9" t="n"/>
      <c r="F91" s="9" t="n"/>
      <c r="G91" s="9" t="n"/>
      <c r="H91" s="12" t="n"/>
      <c r="I91" s="8">
        <f>IF(B91="","",IF(AND(F91&lt;&gt;"",SUMPRODUCT(--ISNUMBER(SEARCH(Preseleccionados!$A$2:$A$11,F91)))&gt;0),"YA ESTÁ",IF(AND(F91&lt;&gt;"",COUNTIF($F$3:F91,F91)&gt;1),"REPETIDO","")))</f>
        <v/>
      </c>
      <c r="J91" s="8">
        <f>IF(OR(B91="",I91&lt;&gt;""),"",IF(MOD(COUNTIFS($B$3:B91,"&lt;&gt;",$I$3:I91,""),2)=1,"Carlos","Joaquín"))</f>
        <v/>
      </c>
      <c r="K91" s="11" t="n"/>
      <c r="L91" s="11" t="n"/>
      <c r="M91" s="11" t="n"/>
      <c r="N91" s="11" t="n"/>
      <c r="O91" s="11" t="n"/>
      <c r="P91" s="8">
        <f>IF(J91="","",IF(K91="Sale","Descartado",IF(L91="Sale","Descartado",IF(OR(M91="Q3",M91="Q4",M91="No aparece"),"Descartado",IF(N91="Sale","Descartado",IF(O91="Sigue","APROBADO","En proceso"))))))</f>
        <v/>
      </c>
    </row>
    <row r="92" ht="15" customHeight="1">
      <c r="A92" s="8">
        <f>IF(B92="","",ROW()-2)</f>
        <v/>
      </c>
      <c r="B92" s="9" t="n"/>
      <c r="C92" s="9" t="n"/>
      <c r="D92" s="12" t="n"/>
      <c r="E92" s="9" t="n"/>
      <c r="F92" s="9" t="n"/>
      <c r="G92" s="9" t="n"/>
      <c r="H92" s="12" t="n"/>
      <c r="I92" s="8">
        <f>IF(B92="","",IF(AND(F92&lt;&gt;"",SUMPRODUCT(--ISNUMBER(SEARCH(Preseleccionados!$A$2:$A$11,F92)))&gt;0),"YA ESTÁ",IF(AND(F92&lt;&gt;"",COUNTIF($F$3:F92,F92)&gt;1),"REPETIDO","")))</f>
        <v/>
      </c>
      <c r="J92" s="8">
        <f>IF(OR(B92="",I92&lt;&gt;""),"",IF(MOD(COUNTIFS($B$3:B92,"&lt;&gt;",$I$3:I92,""),2)=1,"Carlos","Joaquín"))</f>
        <v/>
      </c>
      <c r="K92" s="11" t="n"/>
      <c r="L92" s="11" t="n"/>
      <c r="M92" s="11" t="n"/>
      <c r="N92" s="11" t="n"/>
      <c r="O92" s="11" t="n"/>
      <c r="P92" s="8">
        <f>IF(J92="","",IF(K92="Sale","Descartado",IF(L92="Sale","Descartado",IF(OR(M92="Q3",M92="Q4",M92="No aparece"),"Descartado",IF(N92="Sale","Descartado",IF(O92="Sigue","APROBADO","En proceso"))))))</f>
        <v/>
      </c>
    </row>
    <row r="93" ht="15" customHeight="1">
      <c r="A93" s="8">
        <f>IF(B93="","",ROW()-2)</f>
        <v/>
      </c>
      <c r="B93" s="9" t="n"/>
      <c r="C93" s="9" t="n"/>
      <c r="D93" s="12" t="n"/>
      <c r="E93" s="9" t="n"/>
      <c r="F93" s="9" t="n"/>
      <c r="G93" s="9" t="n"/>
      <c r="H93" s="12" t="n"/>
      <c r="I93" s="8">
        <f>IF(B93="","",IF(AND(F93&lt;&gt;"",SUMPRODUCT(--ISNUMBER(SEARCH(Preseleccionados!$A$2:$A$11,F93)))&gt;0),"YA ESTÁ",IF(AND(F93&lt;&gt;"",COUNTIF($F$3:F93,F93)&gt;1),"REPETIDO","")))</f>
        <v/>
      </c>
      <c r="J93" s="8">
        <f>IF(OR(B93="",I93&lt;&gt;""),"",IF(MOD(COUNTIFS($B$3:B93,"&lt;&gt;",$I$3:I93,""),2)=1,"Carlos","Joaquín"))</f>
        <v/>
      </c>
      <c r="K93" s="11" t="n"/>
      <c r="L93" s="11" t="n"/>
      <c r="M93" s="11" t="n"/>
      <c r="N93" s="11" t="n"/>
      <c r="O93" s="11" t="n"/>
      <c r="P93" s="8">
        <f>IF(J93="","",IF(K93="Sale","Descartado",IF(L93="Sale","Descartado",IF(OR(M93="Q3",M93="Q4",M93="No aparece"),"Descartado",IF(N93="Sale","Descartado",IF(O93="Sigue","APROBADO","En proceso"))))))</f>
        <v/>
      </c>
    </row>
    <row r="94" ht="15" customHeight="1">
      <c r="A94" s="8">
        <f>IF(B94="","",ROW()-2)</f>
        <v/>
      </c>
      <c r="B94" s="9" t="n"/>
      <c r="C94" s="9" t="n"/>
      <c r="D94" s="12" t="n"/>
      <c r="E94" s="9" t="n"/>
      <c r="F94" s="9" t="n"/>
      <c r="G94" s="9" t="n"/>
      <c r="H94" s="12" t="n"/>
      <c r="I94" s="8">
        <f>IF(B94="","",IF(AND(F94&lt;&gt;"",SUMPRODUCT(--ISNUMBER(SEARCH(Preseleccionados!$A$2:$A$11,F94)))&gt;0),"YA ESTÁ",IF(AND(F94&lt;&gt;"",COUNTIF($F$3:F94,F94)&gt;1),"REPETIDO","")))</f>
        <v/>
      </c>
      <c r="J94" s="8">
        <f>IF(OR(B94="",I94&lt;&gt;""),"",IF(MOD(COUNTIFS($B$3:B94,"&lt;&gt;",$I$3:I94,""),2)=1,"Carlos","Joaquín"))</f>
        <v/>
      </c>
      <c r="K94" s="11" t="n"/>
      <c r="L94" s="11" t="n"/>
      <c r="M94" s="11" t="n"/>
      <c r="N94" s="11" t="n"/>
      <c r="O94" s="11" t="n"/>
      <c r="P94" s="8">
        <f>IF(J94="","",IF(K94="Sale","Descartado",IF(L94="Sale","Descartado",IF(OR(M94="Q3",M94="Q4",M94="No aparece"),"Descartado",IF(N94="Sale","Descartado",IF(O94="Sigue","APROBADO","En proceso"))))))</f>
        <v/>
      </c>
    </row>
    <row r="95" ht="15" customHeight="1">
      <c r="A95" s="8">
        <f>IF(B95="","",ROW()-2)</f>
        <v/>
      </c>
      <c r="B95" s="9" t="n"/>
      <c r="C95" s="9" t="n"/>
      <c r="D95" s="12" t="n"/>
      <c r="E95" s="9" t="n"/>
      <c r="F95" s="9" t="n"/>
      <c r="G95" s="9" t="n"/>
      <c r="H95" s="12" t="n"/>
      <c r="I95" s="8">
        <f>IF(B95="","",IF(AND(F95&lt;&gt;"",SUMPRODUCT(--ISNUMBER(SEARCH(Preseleccionados!$A$2:$A$11,F95)))&gt;0),"YA ESTÁ",IF(AND(F95&lt;&gt;"",COUNTIF($F$3:F95,F95)&gt;1),"REPETIDO","")))</f>
        <v/>
      </c>
      <c r="J95" s="8">
        <f>IF(OR(B95="",I95&lt;&gt;""),"",IF(MOD(COUNTIFS($B$3:B95,"&lt;&gt;",$I$3:I95,""),2)=1,"Carlos","Joaquín"))</f>
        <v/>
      </c>
      <c r="K95" s="11" t="n"/>
      <c r="L95" s="11" t="n"/>
      <c r="M95" s="11" t="n"/>
      <c r="N95" s="11" t="n"/>
      <c r="O95" s="11" t="n"/>
      <c r="P95" s="8">
        <f>IF(J95="","",IF(K95="Sale","Descartado",IF(L95="Sale","Descartado",IF(OR(M95="Q3",M95="Q4",M95="No aparece"),"Descartado",IF(N95="Sale","Descartado",IF(O95="Sigue","APROBADO","En proceso"))))))</f>
        <v/>
      </c>
    </row>
    <row r="96" ht="15" customHeight="1">
      <c r="A96" s="8">
        <f>IF(B96="","",ROW()-2)</f>
        <v/>
      </c>
      <c r="B96" s="9" t="n"/>
      <c r="C96" s="9" t="n"/>
      <c r="D96" s="12" t="n"/>
      <c r="E96" s="9" t="n"/>
      <c r="F96" s="9" t="n"/>
      <c r="G96" s="9" t="n"/>
      <c r="H96" s="12" t="n"/>
      <c r="I96" s="8">
        <f>IF(B96="","",IF(AND(F96&lt;&gt;"",SUMPRODUCT(--ISNUMBER(SEARCH(Preseleccionados!$A$2:$A$11,F96)))&gt;0),"YA ESTÁ",IF(AND(F96&lt;&gt;"",COUNTIF($F$3:F96,F96)&gt;1),"REPETIDO","")))</f>
        <v/>
      </c>
      <c r="J96" s="8">
        <f>IF(OR(B96="",I96&lt;&gt;""),"",IF(MOD(COUNTIFS($B$3:B96,"&lt;&gt;",$I$3:I96,""),2)=1,"Carlos","Joaquín"))</f>
        <v/>
      </c>
      <c r="K96" s="11" t="n"/>
      <c r="L96" s="11" t="n"/>
      <c r="M96" s="11" t="n"/>
      <c r="N96" s="11" t="n"/>
      <c r="O96" s="11" t="n"/>
      <c r="P96" s="8">
        <f>IF(J96="","",IF(K96="Sale","Descartado",IF(L96="Sale","Descartado",IF(OR(M96="Q3",M96="Q4",M96="No aparece"),"Descartado",IF(N96="Sale","Descartado",IF(O96="Sigue","APROBADO","En proceso"))))))</f>
        <v/>
      </c>
    </row>
    <row r="97" ht="15" customHeight="1">
      <c r="A97" s="8">
        <f>IF(B97="","",ROW()-2)</f>
        <v/>
      </c>
      <c r="B97" s="9" t="n"/>
      <c r="C97" s="9" t="n"/>
      <c r="D97" s="12" t="n"/>
      <c r="E97" s="9" t="n"/>
      <c r="F97" s="9" t="n"/>
      <c r="G97" s="9" t="n"/>
      <c r="H97" s="12" t="n"/>
      <c r="I97" s="8">
        <f>IF(B97="","",IF(AND(F97&lt;&gt;"",SUMPRODUCT(--ISNUMBER(SEARCH(Preseleccionados!$A$2:$A$11,F97)))&gt;0),"YA ESTÁ",IF(AND(F97&lt;&gt;"",COUNTIF($F$3:F97,F97)&gt;1),"REPETIDO","")))</f>
        <v/>
      </c>
      <c r="J97" s="8">
        <f>IF(OR(B97="",I97&lt;&gt;""),"",IF(MOD(COUNTIFS($B$3:B97,"&lt;&gt;",$I$3:I97,""),2)=1,"Carlos","Joaquín"))</f>
        <v/>
      </c>
      <c r="K97" s="11" t="n"/>
      <c r="L97" s="11" t="n"/>
      <c r="M97" s="11" t="n"/>
      <c r="N97" s="11" t="n"/>
      <c r="O97" s="11" t="n"/>
      <c r="P97" s="8">
        <f>IF(J97="","",IF(K97="Sale","Descartado",IF(L97="Sale","Descartado",IF(OR(M97="Q3",M97="Q4",M97="No aparece"),"Descartado",IF(N97="Sale","Descartado",IF(O97="Sigue","APROBADO","En proceso"))))))</f>
        <v/>
      </c>
    </row>
    <row r="98" ht="15" customHeight="1">
      <c r="A98" s="8">
        <f>IF(B98="","",ROW()-2)</f>
        <v/>
      </c>
      <c r="B98" s="9" t="n"/>
      <c r="C98" s="9" t="n"/>
      <c r="D98" s="12" t="n"/>
      <c r="E98" s="9" t="n"/>
      <c r="F98" s="9" t="n"/>
      <c r="G98" s="9" t="n"/>
      <c r="H98" s="12" t="n"/>
      <c r="I98" s="8">
        <f>IF(B98="","",IF(AND(F98&lt;&gt;"",SUMPRODUCT(--ISNUMBER(SEARCH(Preseleccionados!$A$2:$A$11,F98)))&gt;0),"YA ESTÁ",IF(AND(F98&lt;&gt;"",COUNTIF($F$3:F98,F98)&gt;1),"REPETIDO","")))</f>
        <v/>
      </c>
      <c r="J98" s="8">
        <f>IF(OR(B98="",I98&lt;&gt;""),"",IF(MOD(COUNTIFS($B$3:B98,"&lt;&gt;",$I$3:I98,""),2)=1,"Carlos","Joaquín"))</f>
        <v/>
      </c>
      <c r="K98" s="11" t="n"/>
      <c r="L98" s="11" t="n"/>
      <c r="M98" s="11" t="n"/>
      <c r="N98" s="11" t="n"/>
      <c r="O98" s="11" t="n"/>
      <c r="P98" s="8">
        <f>IF(J98="","",IF(K98="Sale","Descartado",IF(L98="Sale","Descartado",IF(OR(M98="Q3",M98="Q4",M98="No aparece"),"Descartado",IF(N98="Sale","Descartado",IF(O98="Sigue","APROBADO","En proceso"))))))</f>
        <v/>
      </c>
    </row>
    <row r="99" ht="15" customHeight="1">
      <c r="A99" s="8">
        <f>IF(B99="","",ROW()-2)</f>
        <v/>
      </c>
      <c r="B99" s="9" t="n"/>
      <c r="C99" s="9" t="n"/>
      <c r="D99" s="12" t="n"/>
      <c r="E99" s="9" t="n"/>
      <c r="F99" s="9" t="n"/>
      <c r="G99" s="9" t="n"/>
      <c r="H99" s="12" t="n"/>
      <c r="I99" s="8">
        <f>IF(B99="","",IF(AND(F99&lt;&gt;"",SUMPRODUCT(--ISNUMBER(SEARCH(Preseleccionados!$A$2:$A$11,F99)))&gt;0),"YA ESTÁ",IF(AND(F99&lt;&gt;"",COUNTIF($F$3:F99,F99)&gt;1),"REPETIDO","")))</f>
        <v/>
      </c>
      <c r="J99" s="8">
        <f>IF(OR(B99="",I99&lt;&gt;""),"",IF(MOD(COUNTIFS($B$3:B99,"&lt;&gt;",$I$3:I99,""),2)=1,"Carlos","Joaquín"))</f>
        <v/>
      </c>
      <c r="K99" s="11" t="n"/>
      <c r="L99" s="11" t="n"/>
      <c r="M99" s="11" t="n"/>
      <c r="N99" s="11" t="n"/>
      <c r="O99" s="11" t="n"/>
      <c r="P99" s="8">
        <f>IF(J99="","",IF(K99="Sale","Descartado",IF(L99="Sale","Descartado",IF(OR(M99="Q3",M99="Q4",M99="No aparece"),"Descartado",IF(N99="Sale","Descartado",IF(O99="Sigue","APROBADO","En proceso"))))))</f>
        <v/>
      </c>
    </row>
    <row r="100" ht="15" customHeight="1">
      <c r="A100" s="8">
        <f>IF(B100="","",ROW()-2)</f>
        <v/>
      </c>
      <c r="B100" s="9" t="n"/>
      <c r="C100" s="9" t="n"/>
      <c r="D100" s="12" t="n"/>
      <c r="E100" s="9" t="n"/>
      <c r="F100" s="9" t="n"/>
      <c r="G100" s="9" t="n"/>
      <c r="H100" s="12" t="n"/>
      <c r="I100" s="8">
        <f>IF(B100="","",IF(AND(F100&lt;&gt;"",SUMPRODUCT(--ISNUMBER(SEARCH(Preseleccionados!$A$2:$A$11,F100)))&gt;0),"YA ESTÁ",IF(AND(F100&lt;&gt;"",COUNTIF($F$3:F100,F100)&gt;1),"REPETIDO","")))</f>
        <v/>
      </c>
      <c r="J100" s="8">
        <f>IF(OR(B100="",I100&lt;&gt;""),"",IF(MOD(COUNTIFS($B$3:B100,"&lt;&gt;",$I$3:I100,""),2)=1,"Carlos","Joaquín"))</f>
        <v/>
      </c>
      <c r="K100" s="11" t="n"/>
      <c r="L100" s="11" t="n"/>
      <c r="M100" s="11" t="n"/>
      <c r="N100" s="11" t="n"/>
      <c r="O100" s="11" t="n"/>
      <c r="P100" s="8">
        <f>IF(J100="","",IF(K100="Sale","Descartado",IF(L100="Sale","Descartado",IF(OR(M100="Q3",M100="Q4",M100="No aparece"),"Descartado",IF(N100="Sale","Descartado",IF(O100="Sigue","APROBADO","En proceso"))))))</f>
        <v/>
      </c>
    </row>
    <row r="101" ht="15" customHeight="1">
      <c r="A101" s="8">
        <f>IF(B101="","",ROW()-2)</f>
        <v/>
      </c>
      <c r="B101" s="9" t="n"/>
      <c r="C101" s="9" t="n"/>
      <c r="D101" s="12" t="n"/>
      <c r="E101" s="9" t="n"/>
      <c r="F101" s="9" t="n"/>
      <c r="G101" s="9" t="n"/>
      <c r="H101" s="12" t="n"/>
      <c r="I101" s="8">
        <f>IF(B101="","",IF(AND(F101&lt;&gt;"",SUMPRODUCT(--ISNUMBER(SEARCH(Preseleccionados!$A$2:$A$11,F101)))&gt;0),"YA ESTÁ",IF(AND(F101&lt;&gt;"",COUNTIF($F$3:F101,F101)&gt;1),"REPETIDO","")))</f>
        <v/>
      </c>
      <c r="J101" s="8">
        <f>IF(OR(B101="",I101&lt;&gt;""),"",IF(MOD(COUNTIFS($B$3:B101,"&lt;&gt;",$I$3:I101,""),2)=1,"Carlos","Joaquín"))</f>
        <v/>
      </c>
      <c r="K101" s="11" t="n"/>
      <c r="L101" s="11" t="n"/>
      <c r="M101" s="11" t="n"/>
      <c r="N101" s="11" t="n"/>
      <c r="O101" s="11" t="n"/>
      <c r="P101" s="8">
        <f>IF(J101="","",IF(K101="Sale","Descartado",IF(L101="Sale","Descartado",IF(OR(M101="Q3",M101="Q4",M101="No aparece"),"Descartado",IF(N101="Sale","Descartado",IF(O101="Sigue","APROBADO","En proceso"))))))</f>
        <v/>
      </c>
    </row>
    <row r="102" ht="15" customHeight="1">
      <c r="A102" s="8">
        <f>IF(B102="","",ROW()-2)</f>
        <v/>
      </c>
      <c r="B102" s="9" t="n"/>
      <c r="C102" s="9" t="n"/>
      <c r="D102" s="12" t="n"/>
      <c r="E102" s="9" t="n"/>
      <c r="F102" s="9" t="n"/>
      <c r="G102" s="9" t="n"/>
      <c r="H102" s="12" t="n"/>
      <c r="I102" s="8">
        <f>IF(B102="","",IF(AND(F102&lt;&gt;"",SUMPRODUCT(--ISNUMBER(SEARCH(Preseleccionados!$A$2:$A$11,F102)))&gt;0),"YA ESTÁ",IF(AND(F102&lt;&gt;"",COUNTIF($F$3:F102,F102)&gt;1),"REPETIDO","")))</f>
        <v/>
      </c>
      <c r="J102" s="8">
        <f>IF(OR(B102="",I102&lt;&gt;""),"",IF(MOD(COUNTIFS($B$3:B102,"&lt;&gt;",$I$3:I102,""),2)=1,"Carlos","Joaquín"))</f>
        <v/>
      </c>
      <c r="K102" s="11" t="n"/>
      <c r="L102" s="11" t="n"/>
      <c r="M102" s="11" t="n"/>
      <c r="N102" s="11" t="n"/>
      <c r="O102" s="11" t="n"/>
      <c r="P102" s="8">
        <f>IF(J102="","",IF(K102="Sale","Descartado",IF(L102="Sale","Descartado",IF(OR(M102="Q3",M102="Q4",M102="No aparece"),"Descartado",IF(N102="Sale","Descartado",IF(O102="Sigue","APROBADO","En proceso"))))))</f>
        <v/>
      </c>
    </row>
    <row r="103" ht="15" customHeight="1">
      <c r="A103" s="8">
        <f>IF(B103="","",ROW()-2)</f>
        <v/>
      </c>
      <c r="B103" s="9" t="n"/>
      <c r="C103" s="9" t="n"/>
      <c r="D103" s="12" t="n"/>
      <c r="E103" s="9" t="n"/>
      <c r="F103" s="9" t="n"/>
      <c r="G103" s="9" t="n"/>
      <c r="H103" s="12" t="n"/>
      <c r="I103" s="8">
        <f>IF(B103="","",IF(AND(F103&lt;&gt;"",SUMPRODUCT(--ISNUMBER(SEARCH(Preseleccionados!$A$2:$A$11,F103)))&gt;0),"YA ESTÁ",IF(AND(F103&lt;&gt;"",COUNTIF($F$3:F103,F103)&gt;1),"REPETIDO","")))</f>
        <v/>
      </c>
      <c r="J103" s="8">
        <f>IF(OR(B103="",I103&lt;&gt;""),"",IF(MOD(COUNTIFS($B$3:B103,"&lt;&gt;",$I$3:I103,""),2)=1,"Carlos","Joaquín"))</f>
        <v/>
      </c>
      <c r="K103" s="11" t="n"/>
      <c r="L103" s="11" t="n"/>
      <c r="M103" s="11" t="n"/>
      <c r="N103" s="11" t="n"/>
      <c r="O103" s="11" t="n"/>
      <c r="P103" s="8">
        <f>IF(J103="","",IF(K103="Sale","Descartado",IF(L103="Sale","Descartado",IF(OR(M103="Q3",M103="Q4",M103="No aparece"),"Descartado",IF(N103="Sale","Descartado",IF(O103="Sigue","APROBADO","En proceso"))))))</f>
        <v/>
      </c>
    </row>
    <row r="104" ht="15" customHeight="1">
      <c r="A104" s="8">
        <f>IF(B104="","",ROW()-2)</f>
        <v/>
      </c>
      <c r="B104" s="9" t="n"/>
      <c r="C104" s="9" t="n"/>
      <c r="D104" s="12" t="n"/>
      <c r="E104" s="9" t="n"/>
      <c r="F104" s="9" t="n"/>
      <c r="G104" s="9" t="n"/>
      <c r="H104" s="12" t="n"/>
      <c r="I104" s="8">
        <f>IF(B104="","",IF(AND(F104&lt;&gt;"",SUMPRODUCT(--ISNUMBER(SEARCH(Preseleccionados!$A$2:$A$11,F104)))&gt;0),"YA ESTÁ",IF(AND(F104&lt;&gt;"",COUNTIF($F$3:F104,F104)&gt;1),"REPETIDO","")))</f>
        <v/>
      </c>
      <c r="J104" s="8">
        <f>IF(OR(B104="",I104&lt;&gt;""),"",IF(MOD(COUNTIFS($B$3:B104,"&lt;&gt;",$I$3:I104,""),2)=1,"Carlos","Joaquín"))</f>
        <v/>
      </c>
      <c r="K104" s="11" t="n"/>
      <c r="L104" s="11" t="n"/>
      <c r="M104" s="11" t="n"/>
      <c r="N104" s="11" t="n"/>
      <c r="O104" s="11" t="n"/>
      <c r="P104" s="8">
        <f>IF(J104="","",IF(K104="Sale","Descartado",IF(L104="Sale","Descartado",IF(OR(M104="Q3",M104="Q4",M104="No aparece"),"Descartado",IF(N104="Sale","Descartado",IF(O104="Sigue","APROBADO","En proceso"))))))</f>
        <v/>
      </c>
    </row>
    <row r="105" ht="15" customHeight="1">
      <c r="A105" s="8">
        <f>IF(B105="","",ROW()-2)</f>
        <v/>
      </c>
      <c r="B105" s="9" t="n"/>
      <c r="C105" s="9" t="n"/>
      <c r="D105" s="12" t="n"/>
      <c r="E105" s="9" t="n"/>
      <c r="F105" s="9" t="n"/>
      <c r="G105" s="9" t="n"/>
      <c r="H105" s="12" t="n"/>
      <c r="I105" s="8">
        <f>IF(B105="","",IF(AND(F105&lt;&gt;"",SUMPRODUCT(--ISNUMBER(SEARCH(Preseleccionados!$A$2:$A$11,F105)))&gt;0),"YA ESTÁ",IF(AND(F105&lt;&gt;"",COUNTIF($F$3:F105,F105)&gt;1),"REPETIDO","")))</f>
        <v/>
      </c>
      <c r="J105" s="8">
        <f>IF(OR(B105="",I105&lt;&gt;""),"",IF(MOD(COUNTIFS($B$3:B105,"&lt;&gt;",$I$3:I105,""),2)=1,"Carlos","Joaquín"))</f>
        <v/>
      </c>
      <c r="K105" s="11" t="n"/>
      <c r="L105" s="11" t="n"/>
      <c r="M105" s="11" t="n"/>
      <c r="N105" s="11" t="n"/>
      <c r="O105" s="11" t="n"/>
      <c r="P105" s="8">
        <f>IF(J105="","",IF(K105="Sale","Descartado",IF(L105="Sale","Descartado",IF(OR(M105="Q3",M105="Q4",M105="No aparece"),"Descartado",IF(N105="Sale","Descartado",IF(O105="Sigue","APROBADO","En proceso"))))))</f>
        <v/>
      </c>
    </row>
    <row r="106" ht="15" customHeight="1">
      <c r="A106" s="8">
        <f>IF(B106="","",ROW()-2)</f>
        <v/>
      </c>
      <c r="B106" s="9" t="n"/>
      <c r="C106" s="9" t="n"/>
      <c r="D106" s="12" t="n"/>
      <c r="E106" s="9" t="n"/>
      <c r="F106" s="9" t="n"/>
      <c r="G106" s="9" t="n"/>
      <c r="H106" s="12" t="n"/>
      <c r="I106" s="8">
        <f>IF(B106="","",IF(AND(F106&lt;&gt;"",SUMPRODUCT(--ISNUMBER(SEARCH(Preseleccionados!$A$2:$A$11,F106)))&gt;0),"YA ESTÁ",IF(AND(F106&lt;&gt;"",COUNTIF($F$3:F106,F106)&gt;1),"REPETIDO","")))</f>
        <v/>
      </c>
      <c r="J106" s="8">
        <f>IF(OR(B106="",I106&lt;&gt;""),"",IF(MOD(COUNTIFS($B$3:B106,"&lt;&gt;",$I$3:I106,""),2)=1,"Carlos","Joaquín"))</f>
        <v/>
      </c>
      <c r="K106" s="11" t="n"/>
      <c r="L106" s="11" t="n"/>
      <c r="M106" s="11" t="n"/>
      <c r="N106" s="11" t="n"/>
      <c r="O106" s="11" t="n"/>
      <c r="P106" s="8">
        <f>IF(J106="","",IF(K106="Sale","Descartado",IF(L106="Sale","Descartado",IF(OR(M106="Q3",M106="Q4",M106="No aparece"),"Descartado",IF(N106="Sale","Descartado",IF(O106="Sigue","APROBADO","En proceso"))))))</f>
        <v/>
      </c>
    </row>
    <row r="107" ht="15" customHeight="1">
      <c r="A107" s="8">
        <f>IF(B107="","",ROW()-2)</f>
        <v/>
      </c>
      <c r="B107" s="9" t="n"/>
      <c r="C107" s="9" t="n"/>
      <c r="D107" s="12" t="n"/>
      <c r="E107" s="9" t="n"/>
      <c r="F107" s="9" t="n"/>
      <c r="G107" s="9" t="n"/>
      <c r="H107" s="12" t="n"/>
      <c r="I107" s="8">
        <f>IF(B107="","",IF(AND(F107&lt;&gt;"",SUMPRODUCT(--ISNUMBER(SEARCH(Preseleccionados!$A$2:$A$11,F107)))&gt;0),"YA ESTÁ",IF(AND(F107&lt;&gt;"",COUNTIF($F$3:F107,F107)&gt;1),"REPETIDO","")))</f>
        <v/>
      </c>
      <c r="J107" s="8">
        <f>IF(OR(B107="",I107&lt;&gt;""),"",IF(MOD(COUNTIFS($B$3:B107,"&lt;&gt;",$I$3:I107,""),2)=1,"Carlos","Joaquín"))</f>
        <v/>
      </c>
      <c r="K107" s="11" t="n"/>
      <c r="L107" s="11" t="n"/>
      <c r="M107" s="11" t="n"/>
      <c r="N107" s="11" t="n"/>
      <c r="O107" s="11" t="n"/>
      <c r="P107" s="8">
        <f>IF(J107="","",IF(K107="Sale","Descartado",IF(L107="Sale","Descartado",IF(OR(M107="Q3",M107="Q4",M107="No aparece"),"Descartado",IF(N107="Sale","Descartado",IF(O107="Sigue","APROBADO","En proceso"))))))</f>
        <v/>
      </c>
    </row>
    <row r="108" ht="15" customHeight="1">
      <c r="A108" s="8">
        <f>IF(B108="","",ROW()-2)</f>
        <v/>
      </c>
      <c r="B108" s="9" t="n"/>
      <c r="C108" s="9" t="n"/>
      <c r="D108" s="12" t="n"/>
      <c r="E108" s="9" t="n"/>
      <c r="F108" s="9" t="n"/>
      <c r="G108" s="9" t="n"/>
      <c r="H108" s="12" t="n"/>
      <c r="I108" s="8">
        <f>IF(B108="","",IF(AND(F108&lt;&gt;"",SUMPRODUCT(--ISNUMBER(SEARCH(Preseleccionados!$A$2:$A$11,F108)))&gt;0),"YA ESTÁ",IF(AND(F108&lt;&gt;"",COUNTIF($F$3:F108,F108)&gt;1),"REPETIDO","")))</f>
        <v/>
      </c>
      <c r="J108" s="8">
        <f>IF(OR(B108="",I108&lt;&gt;""),"",IF(MOD(COUNTIFS($B$3:B108,"&lt;&gt;",$I$3:I108,""),2)=1,"Carlos","Joaquín"))</f>
        <v/>
      </c>
      <c r="K108" s="11" t="n"/>
      <c r="L108" s="11" t="n"/>
      <c r="M108" s="11" t="n"/>
      <c r="N108" s="11" t="n"/>
      <c r="O108" s="11" t="n"/>
      <c r="P108" s="8">
        <f>IF(J108="","",IF(K108="Sale","Descartado",IF(L108="Sale","Descartado",IF(OR(M108="Q3",M108="Q4",M108="No aparece"),"Descartado",IF(N108="Sale","Descartado",IF(O108="Sigue","APROBADO","En proceso"))))))</f>
        <v/>
      </c>
    </row>
    <row r="109" ht="15" customHeight="1">
      <c r="A109" s="8">
        <f>IF(B109="","",ROW()-2)</f>
        <v/>
      </c>
      <c r="B109" s="9" t="n"/>
      <c r="C109" s="9" t="n"/>
      <c r="D109" s="12" t="n"/>
      <c r="E109" s="9" t="n"/>
      <c r="F109" s="9" t="n"/>
      <c r="G109" s="9" t="n"/>
      <c r="H109" s="12" t="n"/>
      <c r="I109" s="8">
        <f>IF(B109="","",IF(AND(F109&lt;&gt;"",SUMPRODUCT(--ISNUMBER(SEARCH(Preseleccionados!$A$2:$A$11,F109)))&gt;0),"YA ESTÁ",IF(AND(F109&lt;&gt;"",COUNTIF($F$3:F109,F109)&gt;1),"REPETIDO","")))</f>
        <v/>
      </c>
      <c r="J109" s="8">
        <f>IF(OR(B109="",I109&lt;&gt;""),"",IF(MOD(COUNTIFS($B$3:B109,"&lt;&gt;",$I$3:I109,""),2)=1,"Carlos","Joaquín"))</f>
        <v/>
      </c>
      <c r="K109" s="11" t="n"/>
      <c r="L109" s="11" t="n"/>
      <c r="M109" s="11" t="n"/>
      <c r="N109" s="11" t="n"/>
      <c r="O109" s="11" t="n"/>
      <c r="P109" s="8">
        <f>IF(J109="","",IF(K109="Sale","Descartado",IF(L109="Sale","Descartado",IF(OR(M109="Q3",M109="Q4",M109="No aparece"),"Descartado",IF(N109="Sale","Descartado",IF(O109="Sigue","APROBADO","En proceso"))))))</f>
        <v/>
      </c>
    </row>
    <row r="110" ht="15" customHeight="1">
      <c r="A110" s="8">
        <f>IF(B110="","",ROW()-2)</f>
        <v/>
      </c>
      <c r="B110" s="9" t="n"/>
      <c r="C110" s="9" t="n"/>
      <c r="D110" s="12" t="n"/>
      <c r="E110" s="9" t="n"/>
      <c r="F110" s="9" t="n"/>
      <c r="G110" s="9" t="n"/>
      <c r="H110" s="12" t="n"/>
      <c r="I110" s="8">
        <f>IF(B110="","",IF(AND(F110&lt;&gt;"",SUMPRODUCT(--ISNUMBER(SEARCH(Preseleccionados!$A$2:$A$11,F110)))&gt;0),"YA ESTÁ",IF(AND(F110&lt;&gt;"",COUNTIF($F$3:F110,F110)&gt;1),"REPETIDO","")))</f>
        <v/>
      </c>
      <c r="J110" s="8">
        <f>IF(OR(B110="",I110&lt;&gt;""),"",IF(MOD(COUNTIFS($B$3:B110,"&lt;&gt;",$I$3:I110,""),2)=1,"Carlos","Joaquín"))</f>
        <v/>
      </c>
      <c r="K110" s="11" t="n"/>
      <c r="L110" s="11" t="n"/>
      <c r="M110" s="11" t="n"/>
      <c r="N110" s="11" t="n"/>
      <c r="O110" s="11" t="n"/>
      <c r="P110" s="8">
        <f>IF(J110="","",IF(K110="Sale","Descartado",IF(L110="Sale","Descartado",IF(OR(M110="Q3",M110="Q4",M110="No aparece"),"Descartado",IF(N110="Sale","Descartado",IF(O110="Sigue","APROBADO","En proceso"))))))</f>
        <v/>
      </c>
    </row>
    <row r="111" ht="15" customHeight="1">
      <c r="A111" s="8">
        <f>IF(B111="","",ROW()-2)</f>
        <v/>
      </c>
      <c r="B111" s="9" t="n"/>
      <c r="C111" s="9" t="n"/>
      <c r="D111" s="12" t="n"/>
      <c r="E111" s="9" t="n"/>
      <c r="F111" s="9" t="n"/>
      <c r="G111" s="9" t="n"/>
      <c r="H111" s="12" t="n"/>
      <c r="I111" s="8">
        <f>IF(B111="","",IF(AND(F111&lt;&gt;"",SUMPRODUCT(--ISNUMBER(SEARCH(Preseleccionados!$A$2:$A$11,F111)))&gt;0),"YA ESTÁ",IF(AND(F111&lt;&gt;"",COUNTIF($F$3:F111,F111)&gt;1),"REPETIDO","")))</f>
        <v/>
      </c>
      <c r="J111" s="8">
        <f>IF(OR(B111="",I111&lt;&gt;""),"",IF(MOD(COUNTIFS($B$3:B111,"&lt;&gt;",$I$3:I111,""),2)=1,"Carlos","Joaquín"))</f>
        <v/>
      </c>
      <c r="K111" s="11" t="n"/>
      <c r="L111" s="11" t="n"/>
      <c r="M111" s="11" t="n"/>
      <c r="N111" s="11" t="n"/>
      <c r="O111" s="11" t="n"/>
      <c r="P111" s="8">
        <f>IF(J111="","",IF(K111="Sale","Descartado",IF(L111="Sale","Descartado",IF(OR(M111="Q3",M111="Q4",M111="No aparece"),"Descartado",IF(N111="Sale","Descartado",IF(O111="Sigue","APROBADO","En proceso"))))))</f>
        <v/>
      </c>
    </row>
    <row r="112" ht="15" customHeight="1">
      <c r="A112" s="8">
        <f>IF(B112="","",ROW()-2)</f>
        <v/>
      </c>
      <c r="B112" s="9" t="n"/>
      <c r="C112" s="9" t="n"/>
      <c r="D112" s="12" t="n"/>
      <c r="E112" s="9" t="n"/>
      <c r="F112" s="9" t="n"/>
      <c r="G112" s="9" t="n"/>
      <c r="H112" s="12" t="n"/>
      <c r="I112" s="8">
        <f>IF(B112="","",IF(AND(F112&lt;&gt;"",SUMPRODUCT(--ISNUMBER(SEARCH(Preseleccionados!$A$2:$A$11,F112)))&gt;0),"YA ESTÁ",IF(AND(F112&lt;&gt;"",COUNTIF($F$3:F112,F112)&gt;1),"REPETIDO","")))</f>
        <v/>
      </c>
      <c r="J112" s="8">
        <f>IF(OR(B112="",I112&lt;&gt;""),"",IF(MOD(COUNTIFS($B$3:B112,"&lt;&gt;",$I$3:I112,""),2)=1,"Carlos","Joaquín"))</f>
        <v/>
      </c>
      <c r="K112" s="11" t="n"/>
      <c r="L112" s="11" t="n"/>
      <c r="M112" s="11" t="n"/>
      <c r="N112" s="11" t="n"/>
      <c r="O112" s="11" t="n"/>
      <c r="P112" s="8">
        <f>IF(J112="","",IF(K112="Sale","Descartado",IF(L112="Sale","Descartado",IF(OR(M112="Q3",M112="Q4",M112="No aparece"),"Descartado",IF(N112="Sale","Descartado",IF(O112="Sigue","APROBADO","En proceso"))))))</f>
        <v/>
      </c>
    </row>
    <row r="113" ht="15" customHeight="1">
      <c r="A113" s="8">
        <f>IF(B113="","",ROW()-2)</f>
        <v/>
      </c>
      <c r="B113" s="9" t="n"/>
      <c r="C113" s="9" t="n"/>
      <c r="D113" s="12" t="n"/>
      <c r="E113" s="9" t="n"/>
      <c r="F113" s="9" t="n"/>
      <c r="G113" s="9" t="n"/>
      <c r="H113" s="12" t="n"/>
      <c r="I113" s="8">
        <f>IF(B113="","",IF(AND(F113&lt;&gt;"",SUMPRODUCT(--ISNUMBER(SEARCH(Preseleccionados!$A$2:$A$11,F113)))&gt;0),"YA ESTÁ",IF(AND(F113&lt;&gt;"",COUNTIF($F$3:F113,F113)&gt;1),"REPETIDO","")))</f>
        <v/>
      </c>
      <c r="J113" s="8">
        <f>IF(OR(B113="",I113&lt;&gt;""),"",IF(MOD(COUNTIFS($B$3:B113,"&lt;&gt;",$I$3:I113,""),2)=1,"Carlos","Joaquín"))</f>
        <v/>
      </c>
      <c r="K113" s="11" t="n"/>
      <c r="L113" s="11" t="n"/>
      <c r="M113" s="11" t="n"/>
      <c r="N113" s="11" t="n"/>
      <c r="O113" s="11" t="n"/>
      <c r="P113" s="8">
        <f>IF(J113="","",IF(K113="Sale","Descartado",IF(L113="Sale","Descartado",IF(OR(M113="Q3",M113="Q4",M113="No aparece"),"Descartado",IF(N113="Sale","Descartado",IF(O113="Sigue","APROBADO","En proceso"))))))</f>
        <v/>
      </c>
    </row>
    <row r="114" ht="15" customHeight="1">
      <c r="A114" s="8">
        <f>IF(B114="","",ROW()-2)</f>
        <v/>
      </c>
      <c r="B114" s="9" t="n"/>
      <c r="C114" s="9" t="n"/>
      <c r="D114" s="12" t="n"/>
      <c r="E114" s="9" t="n"/>
      <c r="F114" s="9" t="n"/>
      <c r="G114" s="9" t="n"/>
      <c r="H114" s="12" t="n"/>
      <c r="I114" s="8">
        <f>IF(B114="","",IF(AND(F114&lt;&gt;"",SUMPRODUCT(--ISNUMBER(SEARCH(Preseleccionados!$A$2:$A$11,F114)))&gt;0),"YA ESTÁ",IF(AND(F114&lt;&gt;"",COUNTIF($F$3:F114,F114)&gt;1),"REPETIDO","")))</f>
        <v/>
      </c>
      <c r="J114" s="8">
        <f>IF(OR(B114="",I114&lt;&gt;""),"",IF(MOD(COUNTIFS($B$3:B114,"&lt;&gt;",$I$3:I114,""),2)=1,"Carlos","Joaquín"))</f>
        <v/>
      </c>
      <c r="K114" s="11" t="n"/>
      <c r="L114" s="11" t="n"/>
      <c r="M114" s="11" t="n"/>
      <c r="N114" s="11" t="n"/>
      <c r="O114" s="11" t="n"/>
      <c r="P114" s="8">
        <f>IF(J114="","",IF(K114="Sale","Descartado",IF(L114="Sale","Descartado",IF(OR(M114="Q3",M114="Q4",M114="No aparece"),"Descartado",IF(N114="Sale","Descartado",IF(O114="Sigue","APROBADO","En proceso"))))))</f>
        <v/>
      </c>
    </row>
    <row r="115" ht="15" customHeight="1">
      <c r="A115" s="8">
        <f>IF(B115="","",ROW()-2)</f>
        <v/>
      </c>
      <c r="B115" s="9" t="n"/>
      <c r="C115" s="9" t="n"/>
      <c r="D115" s="12" t="n"/>
      <c r="E115" s="9" t="n"/>
      <c r="F115" s="9" t="n"/>
      <c r="G115" s="9" t="n"/>
      <c r="H115" s="12" t="n"/>
      <c r="I115" s="8">
        <f>IF(B115="","",IF(AND(F115&lt;&gt;"",SUMPRODUCT(--ISNUMBER(SEARCH(Preseleccionados!$A$2:$A$11,F115)))&gt;0),"YA ESTÁ",IF(AND(F115&lt;&gt;"",COUNTIF($F$3:F115,F115)&gt;1),"REPETIDO","")))</f>
        <v/>
      </c>
      <c r="J115" s="8">
        <f>IF(OR(B115="",I115&lt;&gt;""),"",IF(MOD(COUNTIFS($B$3:B115,"&lt;&gt;",$I$3:I115,""),2)=1,"Carlos","Joaquín"))</f>
        <v/>
      </c>
      <c r="K115" s="11" t="n"/>
      <c r="L115" s="11" t="n"/>
      <c r="M115" s="11" t="n"/>
      <c r="N115" s="11" t="n"/>
      <c r="O115" s="11" t="n"/>
      <c r="P115" s="8">
        <f>IF(J115="","",IF(K115="Sale","Descartado",IF(L115="Sale","Descartado",IF(OR(M115="Q3",M115="Q4",M115="No aparece"),"Descartado",IF(N115="Sale","Descartado",IF(O115="Sigue","APROBADO","En proceso"))))))</f>
        <v/>
      </c>
    </row>
    <row r="116" ht="15" customHeight="1">
      <c r="A116" s="8">
        <f>IF(B116="","",ROW()-2)</f>
        <v/>
      </c>
      <c r="B116" s="9" t="n"/>
      <c r="C116" s="9" t="n"/>
      <c r="D116" s="12" t="n"/>
      <c r="E116" s="9" t="n"/>
      <c r="F116" s="9" t="n"/>
      <c r="G116" s="9" t="n"/>
      <c r="H116" s="12" t="n"/>
      <c r="I116" s="8">
        <f>IF(B116="","",IF(AND(F116&lt;&gt;"",SUMPRODUCT(--ISNUMBER(SEARCH(Preseleccionados!$A$2:$A$11,F116)))&gt;0),"YA ESTÁ",IF(AND(F116&lt;&gt;"",COUNTIF($F$3:F116,F116)&gt;1),"REPETIDO","")))</f>
        <v/>
      </c>
      <c r="J116" s="8">
        <f>IF(OR(B116="",I116&lt;&gt;""),"",IF(MOD(COUNTIFS($B$3:B116,"&lt;&gt;",$I$3:I116,""),2)=1,"Carlos","Joaquín"))</f>
        <v/>
      </c>
      <c r="K116" s="11" t="n"/>
      <c r="L116" s="11" t="n"/>
      <c r="M116" s="11" t="n"/>
      <c r="N116" s="11" t="n"/>
      <c r="O116" s="11" t="n"/>
      <c r="P116" s="8">
        <f>IF(J116="","",IF(K116="Sale","Descartado",IF(L116="Sale","Descartado",IF(OR(M116="Q3",M116="Q4",M116="No aparece"),"Descartado",IF(N116="Sale","Descartado",IF(O116="Sigue","APROBADO","En proceso"))))))</f>
        <v/>
      </c>
    </row>
    <row r="117" ht="15" customHeight="1">
      <c r="A117" s="8">
        <f>IF(B117="","",ROW()-2)</f>
        <v/>
      </c>
      <c r="B117" s="9" t="n"/>
      <c r="C117" s="9" t="n"/>
      <c r="D117" s="12" t="n"/>
      <c r="E117" s="9" t="n"/>
      <c r="F117" s="9" t="n"/>
      <c r="G117" s="9" t="n"/>
      <c r="H117" s="12" t="n"/>
      <c r="I117" s="8">
        <f>IF(B117="","",IF(AND(F117&lt;&gt;"",SUMPRODUCT(--ISNUMBER(SEARCH(Preseleccionados!$A$2:$A$11,F117)))&gt;0),"YA ESTÁ",IF(AND(F117&lt;&gt;"",COUNTIF($F$3:F117,F117)&gt;1),"REPETIDO","")))</f>
        <v/>
      </c>
      <c r="J117" s="8">
        <f>IF(OR(B117="",I117&lt;&gt;""),"",IF(MOD(COUNTIFS($B$3:B117,"&lt;&gt;",$I$3:I117,""),2)=1,"Carlos","Joaquín"))</f>
        <v/>
      </c>
      <c r="K117" s="11" t="n"/>
      <c r="L117" s="11" t="n"/>
      <c r="M117" s="11" t="n"/>
      <c r="N117" s="11" t="n"/>
      <c r="O117" s="11" t="n"/>
      <c r="P117" s="8">
        <f>IF(J117="","",IF(K117="Sale","Descartado",IF(L117="Sale","Descartado",IF(OR(M117="Q3",M117="Q4",M117="No aparece"),"Descartado",IF(N117="Sale","Descartado",IF(O117="Sigue","APROBADO","En proceso"))))))</f>
        <v/>
      </c>
    </row>
    <row r="118" ht="15" customHeight="1">
      <c r="A118" s="8">
        <f>IF(B118="","",ROW()-2)</f>
        <v/>
      </c>
      <c r="B118" s="9" t="n"/>
      <c r="C118" s="9" t="n"/>
      <c r="D118" s="12" t="n"/>
      <c r="E118" s="9" t="n"/>
      <c r="F118" s="9" t="n"/>
      <c r="G118" s="9" t="n"/>
      <c r="H118" s="12" t="n"/>
      <c r="I118" s="8">
        <f>IF(B118="","",IF(AND(F118&lt;&gt;"",SUMPRODUCT(--ISNUMBER(SEARCH(Preseleccionados!$A$2:$A$11,F118)))&gt;0),"YA ESTÁ",IF(AND(F118&lt;&gt;"",COUNTIF($F$3:F118,F118)&gt;1),"REPETIDO","")))</f>
        <v/>
      </c>
      <c r="J118" s="8">
        <f>IF(OR(B118="",I118&lt;&gt;""),"",IF(MOD(COUNTIFS($B$3:B118,"&lt;&gt;",$I$3:I118,""),2)=1,"Carlos","Joaquín"))</f>
        <v/>
      </c>
      <c r="K118" s="11" t="n"/>
      <c r="L118" s="11" t="n"/>
      <c r="M118" s="11" t="n"/>
      <c r="N118" s="11" t="n"/>
      <c r="O118" s="11" t="n"/>
      <c r="P118" s="8">
        <f>IF(J118="","",IF(K118="Sale","Descartado",IF(L118="Sale","Descartado",IF(OR(M118="Q3",M118="Q4",M118="No aparece"),"Descartado",IF(N118="Sale","Descartado",IF(O118="Sigue","APROBADO","En proceso"))))))</f>
        <v/>
      </c>
    </row>
    <row r="119" ht="15" customHeight="1">
      <c r="A119" s="8">
        <f>IF(B119="","",ROW()-2)</f>
        <v/>
      </c>
      <c r="B119" s="9" t="n"/>
      <c r="C119" s="9" t="n"/>
      <c r="D119" s="12" t="n"/>
      <c r="E119" s="9" t="n"/>
      <c r="F119" s="9" t="n"/>
      <c r="G119" s="9" t="n"/>
      <c r="H119" s="12" t="n"/>
      <c r="I119" s="8">
        <f>IF(B119="","",IF(AND(F119&lt;&gt;"",SUMPRODUCT(--ISNUMBER(SEARCH(Preseleccionados!$A$2:$A$11,F119)))&gt;0),"YA ESTÁ",IF(AND(F119&lt;&gt;"",COUNTIF($F$3:F119,F119)&gt;1),"REPETIDO","")))</f>
        <v/>
      </c>
      <c r="J119" s="8">
        <f>IF(OR(B119="",I119&lt;&gt;""),"",IF(MOD(COUNTIFS($B$3:B119,"&lt;&gt;",$I$3:I119,""),2)=1,"Carlos","Joaquín"))</f>
        <v/>
      </c>
      <c r="K119" s="11" t="n"/>
      <c r="L119" s="11" t="n"/>
      <c r="M119" s="11" t="n"/>
      <c r="N119" s="11" t="n"/>
      <c r="O119" s="11" t="n"/>
      <c r="P119" s="8">
        <f>IF(J119="","",IF(K119="Sale","Descartado",IF(L119="Sale","Descartado",IF(OR(M119="Q3",M119="Q4",M119="No aparece"),"Descartado",IF(N119="Sale","Descartado",IF(O119="Sigue","APROBADO","En proceso"))))))</f>
        <v/>
      </c>
    </row>
    <row r="120" ht="15" customHeight="1">
      <c r="A120" s="8">
        <f>IF(B120="","",ROW()-2)</f>
        <v/>
      </c>
      <c r="B120" s="9" t="n"/>
      <c r="C120" s="9" t="n"/>
      <c r="D120" s="12" t="n"/>
      <c r="E120" s="9" t="n"/>
      <c r="F120" s="9" t="n"/>
      <c r="G120" s="9" t="n"/>
      <c r="H120" s="12" t="n"/>
      <c r="I120" s="8">
        <f>IF(B120="","",IF(AND(F120&lt;&gt;"",SUMPRODUCT(--ISNUMBER(SEARCH(Preseleccionados!$A$2:$A$11,F120)))&gt;0),"YA ESTÁ",IF(AND(F120&lt;&gt;"",COUNTIF($F$3:F120,F120)&gt;1),"REPETIDO","")))</f>
        <v/>
      </c>
      <c r="J120" s="8">
        <f>IF(OR(B120="",I120&lt;&gt;""),"",IF(MOD(COUNTIFS($B$3:B120,"&lt;&gt;",$I$3:I120,""),2)=1,"Carlos","Joaquín"))</f>
        <v/>
      </c>
      <c r="K120" s="11" t="n"/>
      <c r="L120" s="11" t="n"/>
      <c r="M120" s="11" t="n"/>
      <c r="N120" s="11" t="n"/>
      <c r="O120" s="11" t="n"/>
      <c r="P120" s="8">
        <f>IF(J120="","",IF(K120="Sale","Descartado",IF(L120="Sale","Descartado",IF(OR(M120="Q3",M120="Q4",M120="No aparece"),"Descartado",IF(N120="Sale","Descartado",IF(O120="Sigue","APROBADO","En proceso"))))))</f>
        <v/>
      </c>
    </row>
    <row r="121" ht="15" customHeight="1">
      <c r="A121" s="8">
        <f>IF(B121="","",ROW()-2)</f>
        <v/>
      </c>
      <c r="B121" s="9" t="n"/>
      <c r="C121" s="9" t="n"/>
      <c r="D121" s="12" t="n"/>
      <c r="E121" s="9" t="n"/>
      <c r="F121" s="9" t="n"/>
      <c r="G121" s="9" t="n"/>
      <c r="H121" s="12" t="n"/>
      <c r="I121" s="8">
        <f>IF(B121="","",IF(AND(F121&lt;&gt;"",SUMPRODUCT(--ISNUMBER(SEARCH(Preseleccionados!$A$2:$A$11,F121)))&gt;0),"YA ESTÁ",IF(AND(F121&lt;&gt;"",COUNTIF($F$3:F121,F121)&gt;1),"REPETIDO","")))</f>
        <v/>
      </c>
      <c r="J121" s="8">
        <f>IF(OR(B121="",I121&lt;&gt;""),"",IF(MOD(COUNTIFS($B$3:B121,"&lt;&gt;",$I$3:I121,""),2)=1,"Carlos","Joaquín"))</f>
        <v/>
      </c>
      <c r="K121" s="11" t="n"/>
      <c r="L121" s="11" t="n"/>
      <c r="M121" s="11" t="n"/>
      <c r="N121" s="11" t="n"/>
      <c r="O121" s="11" t="n"/>
      <c r="P121" s="8">
        <f>IF(J121="","",IF(K121="Sale","Descartado",IF(L121="Sale","Descartado",IF(OR(M121="Q3",M121="Q4",M121="No aparece"),"Descartado",IF(N121="Sale","Descartado",IF(O121="Sigue","APROBADO","En proceso"))))))</f>
        <v/>
      </c>
    </row>
    <row r="122" ht="15" customHeight="1">
      <c r="A122" s="8">
        <f>IF(B122="","",ROW()-2)</f>
        <v/>
      </c>
      <c r="B122" s="9" t="n"/>
      <c r="C122" s="9" t="n"/>
      <c r="D122" s="12" t="n"/>
      <c r="E122" s="9" t="n"/>
      <c r="F122" s="9" t="n"/>
      <c r="G122" s="9" t="n"/>
      <c r="H122" s="12" t="n"/>
      <c r="I122" s="8">
        <f>IF(B122="","",IF(AND(F122&lt;&gt;"",SUMPRODUCT(--ISNUMBER(SEARCH(Preseleccionados!$A$2:$A$11,F122)))&gt;0),"YA ESTÁ",IF(AND(F122&lt;&gt;"",COUNTIF($F$3:F122,F122)&gt;1),"REPETIDO","")))</f>
        <v/>
      </c>
      <c r="J122" s="8">
        <f>IF(OR(B122="",I122&lt;&gt;""),"",IF(MOD(COUNTIFS($B$3:B122,"&lt;&gt;",$I$3:I122,""),2)=1,"Carlos","Joaquín"))</f>
        <v/>
      </c>
      <c r="K122" s="11" t="n"/>
      <c r="L122" s="11" t="n"/>
      <c r="M122" s="11" t="n"/>
      <c r="N122" s="11" t="n"/>
      <c r="O122" s="11" t="n"/>
      <c r="P122" s="8">
        <f>IF(J122="","",IF(K122="Sale","Descartado",IF(L122="Sale","Descartado",IF(OR(M122="Q3",M122="Q4",M122="No aparece"),"Descartado",IF(N122="Sale","Descartado",IF(O122="Sigue","APROBADO","En proceso"))))))</f>
        <v/>
      </c>
    </row>
    <row r="123" ht="15" customHeight="1">
      <c r="A123" s="8">
        <f>IF(B123="","",ROW()-2)</f>
        <v/>
      </c>
      <c r="B123" s="9" t="n"/>
      <c r="C123" s="9" t="n"/>
      <c r="D123" s="12" t="n"/>
      <c r="E123" s="9" t="n"/>
      <c r="F123" s="9" t="n"/>
      <c r="G123" s="9" t="n"/>
      <c r="H123" s="12" t="n"/>
      <c r="I123" s="8">
        <f>IF(B123="","",IF(AND(F123&lt;&gt;"",SUMPRODUCT(--ISNUMBER(SEARCH(Preseleccionados!$A$2:$A$11,F123)))&gt;0),"YA ESTÁ",IF(AND(F123&lt;&gt;"",COUNTIF($F$3:F123,F123)&gt;1),"REPETIDO","")))</f>
        <v/>
      </c>
      <c r="J123" s="8">
        <f>IF(OR(B123="",I123&lt;&gt;""),"",IF(MOD(COUNTIFS($B$3:B123,"&lt;&gt;",$I$3:I123,""),2)=1,"Carlos","Joaquín"))</f>
        <v/>
      </c>
      <c r="K123" s="11" t="n"/>
      <c r="L123" s="11" t="n"/>
      <c r="M123" s="11" t="n"/>
      <c r="N123" s="11" t="n"/>
      <c r="O123" s="11" t="n"/>
      <c r="P123" s="8">
        <f>IF(J123="","",IF(K123="Sale","Descartado",IF(L123="Sale","Descartado",IF(OR(M123="Q3",M123="Q4",M123="No aparece"),"Descartado",IF(N123="Sale","Descartado",IF(O123="Sigue","APROBADO","En proceso"))))))</f>
        <v/>
      </c>
    </row>
    <row r="124" ht="15" customHeight="1">
      <c r="A124" s="8">
        <f>IF(B124="","",ROW()-2)</f>
        <v/>
      </c>
      <c r="B124" s="9" t="n"/>
      <c r="C124" s="9" t="n"/>
      <c r="D124" s="12" t="n"/>
      <c r="E124" s="9" t="n"/>
      <c r="F124" s="9" t="n"/>
      <c r="G124" s="9" t="n"/>
      <c r="H124" s="12" t="n"/>
      <c r="I124" s="8">
        <f>IF(B124="","",IF(AND(F124&lt;&gt;"",SUMPRODUCT(--ISNUMBER(SEARCH(Preseleccionados!$A$2:$A$11,F124)))&gt;0),"YA ESTÁ",IF(AND(F124&lt;&gt;"",COUNTIF($F$3:F124,F124)&gt;1),"REPETIDO","")))</f>
        <v/>
      </c>
      <c r="J124" s="8">
        <f>IF(OR(B124="",I124&lt;&gt;""),"",IF(MOD(COUNTIFS($B$3:B124,"&lt;&gt;",$I$3:I124,""),2)=1,"Carlos","Joaquín"))</f>
        <v/>
      </c>
      <c r="K124" s="11" t="n"/>
      <c r="L124" s="11" t="n"/>
      <c r="M124" s="11" t="n"/>
      <c r="N124" s="11" t="n"/>
      <c r="O124" s="11" t="n"/>
      <c r="P124" s="8">
        <f>IF(J124="","",IF(K124="Sale","Descartado",IF(L124="Sale","Descartado",IF(OR(M124="Q3",M124="Q4",M124="No aparece"),"Descartado",IF(N124="Sale","Descartado",IF(O124="Sigue","APROBADO","En proceso"))))))</f>
        <v/>
      </c>
    </row>
    <row r="125" ht="15" customHeight="1">
      <c r="A125" s="8">
        <f>IF(B125="","",ROW()-2)</f>
        <v/>
      </c>
      <c r="B125" s="9" t="n"/>
      <c r="C125" s="9" t="n"/>
      <c r="D125" s="12" t="n"/>
      <c r="E125" s="9" t="n"/>
      <c r="F125" s="9" t="n"/>
      <c r="G125" s="9" t="n"/>
      <c r="H125" s="12" t="n"/>
      <c r="I125" s="8">
        <f>IF(B125="","",IF(AND(F125&lt;&gt;"",SUMPRODUCT(--ISNUMBER(SEARCH(Preseleccionados!$A$2:$A$11,F125)))&gt;0),"YA ESTÁ",IF(AND(F125&lt;&gt;"",COUNTIF($F$3:F125,F125)&gt;1),"REPETIDO","")))</f>
        <v/>
      </c>
      <c r="J125" s="8">
        <f>IF(OR(B125="",I125&lt;&gt;""),"",IF(MOD(COUNTIFS($B$3:B125,"&lt;&gt;",$I$3:I125,""),2)=1,"Carlos","Joaquín"))</f>
        <v/>
      </c>
      <c r="K125" s="11" t="n"/>
      <c r="L125" s="11" t="n"/>
      <c r="M125" s="11" t="n"/>
      <c r="N125" s="11" t="n"/>
      <c r="O125" s="11" t="n"/>
      <c r="P125" s="8">
        <f>IF(J125="","",IF(K125="Sale","Descartado",IF(L125="Sale","Descartado",IF(OR(M125="Q3",M125="Q4",M125="No aparece"),"Descartado",IF(N125="Sale","Descartado",IF(O125="Sigue","APROBADO","En proceso"))))))</f>
        <v/>
      </c>
    </row>
    <row r="126" ht="15" customHeight="1">
      <c r="A126" s="8">
        <f>IF(B126="","",ROW()-2)</f>
        <v/>
      </c>
      <c r="B126" s="9" t="n"/>
      <c r="C126" s="9" t="n"/>
      <c r="D126" s="12" t="n"/>
      <c r="E126" s="9" t="n"/>
      <c r="F126" s="9" t="n"/>
      <c r="G126" s="9" t="n"/>
      <c r="H126" s="12" t="n"/>
      <c r="I126" s="8">
        <f>IF(B126="","",IF(AND(F126&lt;&gt;"",SUMPRODUCT(--ISNUMBER(SEARCH(Preseleccionados!$A$2:$A$11,F126)))&gt;0),"YA ESTÁ",IF(AND(F126&lt;&gt;"",COUNTIF($F$3:F126,F126)&gt;1),"REPETIDO","")))</f>
        <v/>
      </c>
      <c r="J126" s="8">
        <f>IF(OR(B126="",I126&lt;&gt;""),"",IF(MOD(COUNTIFS($B$3:B126,"&lt;&gt;",$I$3:I126,""),2)=1,"Carlos","Joaquín"))</f>
        <v/>
      </c>
      <c r="K126" s="11" t="n"/>
      <c r="L126" s="11" t="n"/>
      <c r="M126" s="11" t="n"/>
      <c r="N126" s="11" t="n"/>
      <c r="O126" s="11" t="n"/>
      <c r="P126" s="8">
        <f>IF(J126="","",IF(K126="Sale","Descartado",IF(L126="Sale","Descartado",IF(OR(M126="Q3",M126="Q4",M126="No aparece"),"Descartado",IF(N126="Sale","Descartado",IF(O126="Sigue","APROBADO","En proceso"))))))</f>
        <v/>
      </c>
    </row>
    <row r="127" ht="15" customHeight="1">
      <c r="A127" s="8">
        <f>IF(B127="","",ROW()-2)</f>
        <v/>
      </c>
      <c r="B127" s="9" t="n"/>
      <c r="C127" s="9" t="n"/>
      <c r="D127" s="12" t="n"/>
      <c r="E127" s="9" t="n"/>
      <c r="F127" s="9" t="n"/>
      <c r="G127" s="9" t="n"/>
      <c r="H127" s="12" t="n"/>
      <c r="I127" s="8">
        <f>IF(B127="","",IF(AND(F127&lt;&gt;"",SUMPRODUCT(--ISNUMBER(SEARCH(Preseleccionados!$A$2:$A$11,F127)))&gt;0),"YA ESTÁ",IF(AND(F127&lt;&gt;"",COUNTIF($F$3:F127,F127)&gt;1),"REPETIDO","")))</f>
        <v/>
      </c>
      <c r="J127" s="8">
        <f>IF(OR(B127="",I127&lt;&gt;""),"",IF(MOD(COUNTIFS($B$3:B127,"&lt;&gt;",$I$3:I127,""),2)=1,"Carlos","Joaquín"))</f>
        <v/>
      </c>
      <c r="K127" s="11" t="n"/>
      <c r="L127" s="11" t="n"/>
      <c r="M127" s="11" t="n"/>
      <c r="N127" s="11" t="n"/>
      <c r="O127" s="11" t="n"/>
      <c r="P127" s="8">
        <f>IF(J127="","",IF(K127="Sale","Descartado",IF(L127="Sale","Descartado",IF(OR(M127="Q3",M127="Q4",M127="No aparece"),"Descartado",IF(N127="Sale","Descartado",IF(O127="Sigue","APROBADO","En proceso"))))))</f>
        <v/>
      </c>
    </row>
    <row r="128" ht="15" customHeight="1">
      <c r="A128" s="8">
        <f>IF(B128="","",ROW()-2)</f>
        <v/>
      </c>
      <c r="B128" s="9" t="n"/>
      <c r="C128" s="9" t="n"/>
      <c r="D128" s="12" t="n"/>
      <c r="E128" s="9" t="n"/>
      <c r="F128" s="9" t="n"/>
      <c r="G128" s="9" t="n"/>
      <c r="H128" s="12" t="n"/>
      <c r="I128" s="8">
        <f>IF(B128="","",IF(AND(F128&lt;&gt;"",SUMPRODUCT(--ISNUMBER(SEARCH(Preseleccionados!$A$2:$A$11,F128)))&gt;0),"YA ESTÁ",IF(AND(F128&lt;&gt;"",COUNTIF($F$3:F128,F128)&gt;1),"REPETIDO","")))</f>
        <v/>
      </c>
      <c r="J128" s="8">
        <f>IF(OR(B128="",I128&lt;&gt;""),"",IF(MOD(COUNTIFS($B$3:B128,"&lt;&gt;",$I$3:I128,""),2)=1,"Carlos","Joaquín"))</f>
        <v/>
      </c>
      <c r="K128" s="11" t="n"/>
      <c r="L128" s="11" t="n"/>
      <c r="M128" s="11" t="n"/>
      <c r="N128" s="11" t="n"/>
      <c r="O128" s="11" t="n"/>
      <c r="P128" s="8">
        <f>IF(J128="","",IF(K128="Sale","Descartado",IF(L128="Sale","Descartado",IF(OR(M128="Q3",M128="Q4",M128="No aparece"),"Descartado",IF(N128="Sale","Descartado",IF(O128="Sigue","APROBADO","En proceso"))))))</f>
        <v/>
      </c>
    </row>
    <row r="129" ht="15" customHeight="1">
      <c r="A129" s="8">
        <f>IF(B129="","",ROW()-2)</f>
        <v/>
      </c>
      <c r="B129" s="9" t="n"/>
      <c r="C129" s="9" t="n"/>
      <c r="D129" s="12" t="n"/>
      <c r="E129" s="9" t="n"/>
      <c r="F129" s="9" t="n"/>
      <c r="G129" s="9" t="n"/>
      <c r="H129" s="12" t="n"/>
      <c r="I129" s="8">
        <f>IF(B129="","",IF(AND(F129&lt;&gt;"",SUMPRODUCT(--ISNUMBER(SEARCH(Preseleccionados!$A$2:$A$11,F129)))&gt;0),"YA ESTÁ",IF(AND(F129&lt;&gt;"",COUNTIF($F$3:F129,F129)&gt;1),"REPETIDO","")))</f>
        <v/>
      </c>
      <c r="J129" s="8">
        <f>IF(OR(B129="",I129&lt;&gt;""),"",IF(MOD(COUNTIFS($B$3:B129,"&lt;&gt;",$I$3:I129,""),2)=1,"Carlos","Joaquín"))</f>
        <v/>
      </c>
      <c r="K129" s="11" t="n"/>
      <c r="L129" s="11" t="n"/>
      <c r="M129" s="11" t="n"/>
      <c r="N129" s="11" t="n"/>
      <c r="O129" s="11" t="n"/>
      <c r="P129" s="8">
        <f>IF(J129="","",IF(K129="Sale","Descartado",IF(L129="Sale","Descartado",IF(OR(M129="Q3",M129="Q4",M129="No aparece"),"Descartado",IF(N129="Sale","Descartado",IF(O129="Sigue","APROBADO","En proceso"))))))</f>
        <v/>
      </c>
    </row>
    <row r="130" ht="15" customHeight="1">
      <c r="A130" s="8">
        <f>IF(B130="","",ROW()-2)</f>
        <v/>
      </c>
      <c r="B130" s="9" t="n"/>
      <c r="C130" s="9" t="n"/>
      <c r="D130" s="12" t="n"/>
      <c r="E130" s="9" t="n"/>
      <c r="F130" s="9" t="n"/>
      <c r="G130" s="9" t="n"/>
      <c r="H130" s="12" t="n"/>
      <c r="I130" s="8">
        <f>IF(B130="","",IF(AND(F130&lt;&gt;"",SUMPRODUCT(--ISNUMBER(SEARCH(Preseleccionados!$A$2:$A$11,F130)))&gt;0),"YA ESTÁ",IF(AND(F130&lt;&gt;"",COUNTIF($F$3:F130,F130)&gt;1),"REPETIDO","")))</f>
        <v/>
      </c>
      <c r="J130" s="8">
        <f>IF(OR(B130="",I130&lt;&gt;""),"",IF(MOD(COUNTIFS($B$3:B130,"&lt;&gt;",$I$3:I130,""),2)=1,"Carlos","Joaquín"))</f>
        <v/>
      </c>
      <c r="K130" s="11" t="n"/>
      <c r="L130" s="11" t="n"/>
      <c r="M130" s="11" t="n"/>
      <c r="N130" s="11" t="n"/>
      <c r="O130" s="11" t="n"/>
      <c r="P130" s="8">
        <f>IF(J130="","",IF(K130="Sale","Descartado",IF(L130="Sale","Descartado",IF(OR(M130="Q3",M130="Q4",M130="No aparece"),"Descartado",IF(N130="Sale","Descartado",IF(O130="Sigue","APROBADO","En proceso"))))))</f>
        <v/>
      </c>
    </row>
    <row r="131" ht="15" customHeight="1">
      <c r="A131" s="8">
        <f>IF(B131="","",ROW()-2)</f>
        <v/>
      </c>
      <c r="B131" s="9" t="n"/>
      <c r="C131" s="9" t="n"/>
      <c r="D131" s="12" t="n"/>
      <c r="E131" s="9" t="n"/>
      <c r="F131" s="9" t="n"/>
      <c r="G131" s="9" t="n"/>
      <c r="H131" s="12" t="n"/>
      <c r="I131" s="8">
        <f>IF(B131="","",IF(AND(F131&lt;&gt;"",SUMPRODUCT(--ISNUMBER(SEARCH(Preseleccionados!$A$2:$A$11,F131)))&gt;0),"YA ESTÁ",IF(AND(F131&lt;&gt;"",COUNTIF($F$3:F131,F131)&gt;1),"REPETIDO","")))</f>
        <v/>
      </c>
      <c r="J131" s="8">
        <f>IF(OR(B131="",I131&lt;&gt;""),"",IF(MOD(COUNTIFS($B$3:B131,"&lt;&gt;",$I$3:I131,""),2)=1,"Carlos","Joaquín"))</f>
        <v/>
      </c>
      <c r="K131" s="11" t="n"/>
      <c r="L131" s="11" t="n"/>
      <c r="M131" s="11" t="n"/>
      <c r="N131" s="11" t="n"/>
      <c r="O131" s="11" t="n"/>
      <c r="P131" s="8">
        <f>IF(J131="","",IF(K131="Sale","Descartado",IF(L131="Sale","Descartado",IF(OR(M131="Q3",M131="Q4",M131="No aparece"),"Descartado",IF(N131="Sale","Descartado",IF(O131="Sigue","APROBADO","En proceso"))))))</f>
        <v/>
      </c>
    </row>
    <row r="132" ht="15" customHeight="1">
      <c r="A132" s="8">
        <f>IF(B132="","",ROW()-2)</f>
        <v/>
      </c>
      <c r="B132" s="9" t="n"/>
      <c r="C132" s="9" t="n"/>
      <c r="D132" s="12" t="n"/>
      <c r="E132" s="9" t="n"/>
      <c r="F132" s="9" t="n"/>
      <c r="G132" s="9" t="n"/>
      <c r="H132" s="12" t="n"/>
      <c r="I132" s="8">
        <f>IF(B132="","",IF(AND(F132&lt;&gt;"",SUMPRODUCT(--ISNUMBER(SEARCH(Preseleccionados!$A$2:$A$11,F132)))&gt;0),"YA ESTÁ",IF(AND(F132&lt;&gt;"",COUNTIF($F$3:F132,F132)&gt;1),"REPETIDO","")))</f>
        <v/>
      </c>
      <c r="J132" s="8">
        <f>IF(OR(B132="",I132&lt;&gt;""),"",IF(MOD(COUNTIFS($B$3:B132,"&lt;&gt;",$I$3:I132,""),2)=1,"Carlos","Joaquín"))</f>
        <v/>
      </c>
      <c r="K132" s="11" t="n"/>
      <c r="L132" s="11" t="n"/>
      <c r="M132" s="11" t="n"/>
      <c r="N132" s="11" t="n"/>
      <c r="O132" s="11" t="n"/>
      <c r="P132" s="8">
        <f>IF(J132="","",IF(K132="Sale","Descartado",IF(L132="Sale","Descartado",IF(OR(M132="Q3",M132="Q4",M132="No aparece"),"Descartado",IF(N132="Sale","Descartado",IF(O132="Sigue","APROBADO","En proceso"))))))</f>
        <v/>
      </c>
    </row>
    <row r="133" ht="15" customHeight="1">
      <c r="A133" s="8">
        <f>IF(B133="","",ROW()-2)</f>
        <v/>
      </c>
      <c r="B133" s="9" t="n"/>
      <c r="C133" s="9" t="n"/>
      <c r="D133" s="12" t="n"/>
      <c r="E133" s="9" t="n"/>
      <c r="F133" s="9" t="n"/>
      <c r="G133" s="9" t="n"/>
      <c r="H133" s="12" t="n"/>
      <c r="I133" s="8">
        <f>IF(B133="","",IF(AND(F133&lt;&gt;"",SUMPRODUCT(--ISNUMBER(SEARCH(Preseleccionados!$A$2:$A$11,F133)))&gt;0),"YA ESTÁ",IF(AND(F133&lt;&gt;"",COUNTIF($F$3:F133,F133)&gt;1),"REPETIDO","")))</f>
        <v/>
      </c>
      <c r="J133" s="8">
        <f>IF(OR(B133="",I133&lt;&gt;""),"",IF(MOD(COUNTIFS($B$3:B133,"&lt;&gt;",$I$3:I133,""),2)=1,"Carlos","Joaquín"))</f>
        <v/>
      </c>
      <c r="K133" s="11" t="n"/>
      <c r="L133" s="11" t="n"/>
      <c r="M133" s="11" t="n"/>
      <c r="N133" s="11" t="n"/>
      <c r="O133" s="11" t="n"/>
      <c r="P133" s="8">
        <f>IF(J133="","",IF(K133="Sale","Descartado",IF(L133="Sale","Descartado",IF(OR(M133="Q3",M133="Q4",M133="No aparece"),"Descartado",IF(N133="Sale","Descartado",IF(O133="Sigue","APROBADO","En proceso"))))))</f>
        <v/>
      </c>
    </row>
    <row r="134" ht="15" customHeight="1">
      <c r="A134" s="8">
        <f>IF(B134="","",ROW()-2)</f>
        <v/>
      </c>
      <c r="B134" s="9" t="n"/>
      <c r="C134" s="9" t="n"/>
      <c r="D134" s="12" t="n"/>
      <c r="E134" s="9" t="n"/>
      <c r="F134" s="9" t="n"/>
      <c r="G134" s="9" t="n"/>
      <c r="H134" s="12" t="n"/>
      <c r="I134" s="8">
        <f>IF(B134="","",IF(AND(F134&lt;&gt;"",SUMPRODUCT(--ISNUMBER(SEARCH(Preseleccionados!$A$2:$A$11,F134)))&gt;0),"YA ESTÁ",IF(AND(F134&lt;&gt;"",COUNTIF($F$3:F134,F134)&gt;1),"REPETIDO","")))</f>
        <v/>
      </c>
      <c r="J134" s="8">
        <f>IF(OR(B134="",I134&lt;&gt;""),"",IF(MOD(COUNTIFS($B$3:B134,"&lt;&gt;",$I$3:I134,""),2)=1,"Carlos","Joaquín"))</f>
        <v/>
      </c>
      <c r="K134" s="11" t="n"/>
      <c r="L134" s="11" t="n"/>
      <c r="M134" s="11" t="n"/>
      <c r="N134" s="11" t="n"/>
      <c r="O134" s="11" t="n"/>
      <c r="P134" s="8">
        <f>IF(J134="","",IF(K134="Sale","Descartado",IF(L134="Sale","Descartado",IF(OR(M134="Q3",M134="Q4",M134="No aparece"),"Descartado",IF(N134="Sale","Descartado",IF(O134="Sigue","APROBADO","En proceso"))))))</f>
        <v/>
      </c>
    </row>
    <row r="135" ht="15" customHeight="1">
      <c r="A135" s="8">
        <f>IF(B135="","",ROW()-2)</f>
        <v/>
      </c>
      <c r="B135" s="9" t="n"/>
      <c r="C135" s="9" t="n"/>
      <c r="D135" s="12" t="n"/>
      <c r="E135" s="9" t="n"/>
      <c r="F135" s="9" t="n"/>
      <c r="G135" s="9" t="n"/>
      <c r="H135" s="12" t="n"/>
      <c r="I135" s="8">
        <f>IF(B135="","",IF(AND(F135&lt;&gt;"",SUMPRODUCT(--ISNUMBER(SEARCH(Preseleccionados!$A$2:$A$11,F135)))&gt;0),"YA ESTÁ",IF(AND(F135&lt;&gt;"",COUNTIF($F$3:F135,F135)&gt;1),"REPETIDO","")))</f>
        <v/>
      </c>
      <c r="J135" s="8">
        <f>IF(OR(B135="",I135&lt;&gt;""),"",IF(MOD(COUNTIFS($B$3:B135,"&lt;&gt;",$I$3:I135,""),2)=1,"Carlos","Joaquín"))</f>
        <v/>
      </c>
      <c r="K135" s="11" t="n"/>
      <c r="L135" s="11" t="n"/>
      <c r="M135" s="11" t="n"/>
      <c r="N135" s="11" t="n"/>
      <c r="O135" s="11" t="n"/>
      <c r="P135" s="8">
        <f>IF(J135="","",IF(K135="Sale","Descartado",IF(L135="Sale","Descartado",IF(OR(M135="Q3",M135="Q4",M135="No aparece"),"Descartado",IF(N135="Sale","Descartado",IF(O135="Sigue","APROBADO","En proceso"))))))</f>
        <v/>
      </c>
    </row>
    <row r="136" ht="15" customHeight="1">
      <c r="A136" s="8">
        <f>IF(B136="","",ROW()-2)</f>
        <v/>
      </c>
      <c r="B136" s="9" t="n"/>
      <c r="C136" s="9" t="n"/>
      <c r="D136" s="12" t="n"/>
      <c r="E136" s="9" t="n"/>
      <c r="F136" s="9" t="n"/>
      <c r="G136" s="9" t="n"/>
      <c r="H136" s="12" t="n"/>
      <c r="I136" s="8">
        <f>IF(B136="","",IF(AND(F136&lt;&gt;"",SUMPRODUCT(--ISNUMBER(SEARCH(Preseleccionados!$A$2:$A$11,F136)))&gt;0),"YA ESTÁ",IF(AND(F136&lt;&gt;"",COUNTIF($F$3:F136,F136)&gt;1),"REPETIDO","")))</f>
        <v/>
      </c>
      <c r="J136" s="8">
        <f>IF(OR(B136="",I136&lt;&gt;""),"",IF(MOD(COUNTIFS($B$3:B136,"&lt;&gt;",$I$3:I136,""),2)=1,"Carlos","Joaquín"))</f>
        <v/>
      </c>
      <c r="K136" s="11" t="n"/>
      <c r="L136" s="11" t="n"/>
      <c r="M136" s="11" t="n"/>
      <c r="N136" s="11" t="n"/>
      <c r="O136" s="11" t="n"/>
      <c r="P136" s="8">
        <f>IF(J136="","",IF(K136="Sale","Descartado",IF(L136="Sale","Descartado",IF(OR(M136="Q3",M136="Q4",M136="No aparece"),"Descartado",IF(N136="Sale","Descartado",IF(O136="Sigue","APROBADO","En proceso"))))))</f>
        <v/>
      </c>
    </row>
    <row r="137" ht="15" customHeight="1">
      <c r="A137" s="8">
        <f>IF(B137="","",ROW()-2)</f>
        <v/>
      </c>
      <c r="B137" s="9" t="n"/>
      <c r="C137" s="9" t="n"/>
      <c r="D137" s="12" t="n"/>
      <c r="E137" s="9" t="n"/>
      <c r="F137" s="9" t="n"/>
      <c r="G137" s="9" t="n"/>
      <c r="H137" s="12" t="n"/>
      <c r="I137" s="8">
        <f>IF(B137="","",IF(AND(F137&lt;&gt;"",SUMPRODUCT(--ISNUMBER(SEARCH(Preseleccionados!$A$2:$A$11,F137)))&gt;0),"YA ESTÁ",IF(AND(F137&lt;&gt;"",COUNTIF($F$3:F137,F137)&gt;1),"REPETIDO","")))</f>
        <v/>
      </c>
      <c r="J137" s="8">
        <f>IF(OR(B137="",I137&lt;&gt;""),"",IF(MOD(COUNTIFS($B$3:B137,"&lt;&gt;",$I$3:I137,""),2)=1,"Carlos","Joaquín"))</f>
        <v/>
      </c>
      <c r="K137" s="11" t="n"/>
      <c r="L137" s="11" t="n"/>
      <c r="M137" s="11" t="n"/>
      <c r="N137" s="11" t="n"/>
      <c r="O137" s="11" t="n"/>
      <c r="P137" s="8">
        <f>IF(J137="","",IF(K137="Sale","Descartado",IF(L137="Sale","Descartado",IF(OR(M137="Q3",M137="Q4",M137="No aparece"),"Descartado",IF(N137="Sale","Descartado",IF(O137="Sigue","APROBADO","En proceso"))))))</f>
        <v/>
      </c>
    </row>
    <row r="138" ht="15" customHeight="1">
      <c r="A138" s="8">
        <f>IF(B138="","",ROW()-2)</f>
        <v/>
      </c>
      <c r="B138" s="9" t="n"/>
      <c r="C138" s="9" t="n"/>
      <c r="D138" s="12" t="n"/>
      <c r="E138" s="9" t="n"/>
      <c r="F138" s="9" t="n"/>
      <c r="G138" s="9" t="n"/>
      <c r="H138" s="12" t="n"/>
      <c r="I138" s="8">
        <f>IF(B138="","",IF(AND(F138&lt;&gt;"",SUMPRODUCT(--ISNUMBER(SEARCH(Preseleccionados!$A$2:$A$11,F138)))&gt;0),"YA ESTÁ",IF(AND(F138&lt;&gt;"",COUNTIF($F$3:F138,F138)&gt;1),"REPETIDO","")))</f>
        <v/>
      </c>
      <c r="J138" s="8">
        <f>IF(OR(B138="",I138&lt;&gt;""),"",IF(MOD(COUNTIFS($B$3:B138,"&lt;&gt;",$I$3:I138,""),2)=1,"Carlos","Joaquín"))</f>
        <v/>
      </c>
      <c r="K138" s="11" t="n"/>
      <c r="L138" s="11" t="n"/>
      <c r="M138" s="11" t="n"/>
      <c r="N138" s="11" t="n"/>
      <c r="O138" s="11" t="n"/>
      <c r="P138" s="8">
        <f>IF(J138="","",IF(K138="Sale","Descartado",IF(L138="Sale","Descartado",IF(OR(M138="Q3",M138="Q4",M138="No aparece"),"Descartado",IF(N138="Sale","Descartado",IF(O138="Sigue","APROBADO","En proceso"))))))</f>
        <v/>
      </c>
    </row>
    <row r="139" ht="15" customHeight="1">
      <c r="A139" s="8">
        <f>IF(B139="","",ROW()-2)</f>
        <v/>
      </c>
      <c r="B139" s="9" t="n"/>
      <c r="C139" s="9" t="n"/>
      <c r="D139" s="12" t="n"/>
      <c r="E139" s="9" t="n"/>
      <c r="F139" s="9" t="n"/>
      <c r="G139" s="9" t="n"/>
      <c r="H139" s="12" t="n"/>
      <c r="I139" s="8">
        <f>IF(B139="","",IF(AND(F139&lt;&gt;"",SUMPRODUCT(--ISNUMBER(SEARCH(Preseleccionados!$A$2:$A$11,F139)))&gt;0),"YA ESTÁ",IF(AND(F139&lt;&gt;"",COUNTIF($F$3:F139,F139)&gt;1),"REPETIDO","")))</f>
        <v/>
      </c>
      <c r="J139" s="8">
        <f>IF(OR(B139="",I139&lt;&gt;""),"",IF(MOD(COUNTIFS($B$3:B139,"&lt;&gt;",$I$3:I139,""),2)=1,"Carlos","Joaquín"))</f>
        <v/>
      </c>
      <c r="K139" s="11" t="n"/>
      <c r="L139" s="11" t="n"/>
      <c r="M139" s="11" t="n"/>
      <c r="N139" s="11" t="n"/>
      <c r="O139" s="11" t="n"/>
      <c r="P139" s="8">
        <f>IF(J139="","",IF(K139="Sale","Descartado",IF(L139="Sale","Descartado",IF(OR(M139="Q3",M139="Q4",M139="No aparece"),"Descartado",IF(N139="Sale","Descartado",IF(O139="Sigue","APROBADO","En proceso"))))))</f>
        <v/>
      </c>
    </row>
    <row r="140" ht="15" customHeight="1">
      <c r="A140" s="8">
        <f>IF(B140="","",ROW()-2)</f>
        <v/>
      </c>
      <c r="B140" s="9" t="n"/>
      <c r="C140" s="9" t="n"/>
      <c r="D140" s="12" t="n"/>
      <c r="E140" s="9" t="n"/>
      <c r="F140" s="9" t="n"/>
      <c r="G140" s="9" t="n"/>
      <c r="H140" s="12" t="n"/>
      <c r="I140" s="8">
        <f>IF(B140="","",IF(AND(F140&lt;&gt;"",SUMPRODUCT(--ISNUMBER(SEARCH(Preseleccionados!$A$2:$A$11,F140)))&gt;0),"YA ESTÁ",IF(AND(F140&lt;&gt;"",COUNTIF($F$3:F140,F140)&gt;1),"REPETIDO","")))</f>
        <v/>
      </c>
      <c r="J140" s="8">
        <f>IF(OR(B140="",I140&lt;&gt;""),"",IF(MOD(COUNTIFS($B$3:B140,"&lt;&gt;",$I$3:I140,""),2)=1,"Carlos","Joaquín"))</f>
        <v/>
      </c>
      <c r="K140" s="11" t="n"/>
      <c r="L140" s="11" t="n"/>
      <c r="M140" s="11" t="n"/>
      <c r="N140" s="11" t="n"/>
      <c r="O140" s="11" t="n"/>
      <c r="P140" s="8">
        <f>IF(J140="","",IF(K140="Sale","Descartado",IF(L140="Sale","Descartado",IF(OR(M140="Q3",M140="Q4",M140="No aparece"),"Descartado",IF(N140="Sale","Descartado",IF(O140="Sigue","APROBADO","En proceso"))))))</f>
        <v/>
      </c>
    </row>
    <row r="141" ht="15" customHeight="1">
      <c r="A141" s="8">
        <f>IF(B141="","",ROW()-2)</f>
        <v/>
      </c>
      <c r="B141" s="9" t="n"/>
      <c r="C141" s="9" t="n"/>
      <c r="D141" s="12" t="n"/>
      <c r="E141" s="9" t="n"/>
      <c r="F141" s="9" t="n"/>
      <c r="G141" s="9" t="n"/>
      <c r="H141" s="12" t="n"/>
      <c r="I141" s="8">
        <f>IF(B141="","",IF(AND(F141&lt;&gt;"",SUMPRODUCT(--ISNUMBER(SEARCH(Preseleccionados!$A$2:$A$11,F141)))&gt;0),"YA ESTÁ",IF(AND(F141&lt;&gt;"",COUNTIF($F$3:F141,F141)&gt;1),"REPETIDO","")))</f>
        <v/>
      </c>
      <c r="J141" s="8">
        <f>IF(OR(B141="",I141&lt;&gt;""),"",IF(MOD(COUNTIFS($B$3:B141,"&lt;&gt;",$I$3:I141,""),2)=1,"Carlos","Joaquín"))</f>
        <v/>
      </c>
      <c r="K141" s="11" t="n"/>
      <c r="L141" s="11" t="n"/>
      <c r="M141" s="11" t="n"/>
      <c r="N141" s="11" t="n"/>
      <c r="O141" s="11" t="n"/>
      <c r="P141" s="8">
        <f>IF(J141="","",IF(K141="Sale","Descartado",IF(L141="Sale","Descartado",IF(OR(M141="Q3",M141="Q4",M141="No aparece"),"Descartado",IF(N141="Sale","Descartado",IF(O141="Sigue","APROBADO","En proceso"))))))</f>
        <v/>
      </c>
    </row>
    <row r="142" ht="15" customHeight="1">
      <c r="A142" s="8">
        <f>IF(B142="","",ROW()-2)</f>
        <v/>
      </c>
      <c r="B142" s="9" t="n"/>
      <c r="C142" s="9" t="n"/>
      <c r="D142" s="12" t="n"/>
      <c r="E142" s="9" t="n"/>
      <c r="F142" s="9" t="n"/>
      <c r="G142" s="9" t="n"/>
      <c r="H142" s="12" t="n"/>
      <c r="I142" s="8">
        <f>IF(B142="","",IF(AND(F142&lt;&gt;"",SUMPRODUCT(--ISNUMBER(SEARCH(Preseleccionados!$A$2:$A$11,F142)))&gt;0),"YA ESTÁ",IF(AND(F142&lt;&gt;"",COUNTIF($F$3:F142,F142)&gt;1),"REPETIDO","")))</f>
        <v/>
      </c>
      <c r="J142" s="8">
        <f>IF(OR(B142="",I142&lt;&gt;""),"",IF(MOD(COUNTIFS($B$3:B142,"&lt;&gt;",$I$3:I142,""),2)=1,"Carlos","Joaquín"))</f>
        <v/>
      </c>
      <c r="K142" s="11" t="n"/>
      <c r="L142" s="11" t="n"/>
      <c r="M142" s="11" t="n"/>
      <c r="N142" s="11" t="n"/>
      <c r="O142" s="11" t="n"/>
      <c r="P142" s="8">
        <f>IF(J142="","",IF(K142="Sale","Descartado",IF(L142="Sale","Descartado",IF(OR(M142="Q3",M142="Q4",M142="No aparece"),"Descartado",IF(N142="Sale","Descartado",IF(O142="Sigue","APROBADO","En proceso"))))))</f>
        <v/>
      </c>
    </row>
    <row r="143" ht="15" customHeight="1">
      <c r="A143" s="8">
        <f>IF(B143="","",ROW()-2)</f>
        <v/>
      </c>
      <c r="B143" s="9" t="n"/>
      <c r="C143" s="9" t="n"/>
      <c r="D143" s="12" t="n"/>
      <c r="E143" s="9" t="n"/>
      <c r="F143" s="9" t="n"/>
      <c r="G143" s="9" t="n"/>
      <c r="H143" s="12" t="n"/>
      <c r="I143" s="8">
        <f>IF(B143="","",IF(AND(F143&lt;&gt;"",SUMPRODUCT(--ISNUMBER(SEARCH(Preseleccionados!$A$2:$A$11,F143)))&gt;0),"YA ESTÁ",IF(AND(F143&lt;&gt;"",COUNTIF($F$3:F143,F143)&gt;1),"REPETIDO","")))</f>
        <v/>
      </c>
      <c r="J143" s="8">
        <f>IF(OR(B143="",I143&lt;&gt;""),"",IF(MOD(COUNTIFS($B$3:B143,"&lt;&gt;",$I$3:I143,""),2)=1,"Carlos","Joaquín"))</f>
        <v/>
      </c>
      <c r="K143" s="11" t="n"/>
      <c r="L143" s="11" t="n"/>
      <c r="M143" s="11" t="n"/>
      <c r="N143" s="11" t="n"/>
      <c r="O143" s="11" t="n"/>
      <c r="P143" s="8">
        <f>IF(J143="","",IF(K143="Sale","Descartado",IF(L143="Sale","Descartado",IF(OR(M143="Q3",M143="Q4",M143="No aparece"),"Descartado",IF(N143="Sale","Descartado",IF(O143="Sigue","APROBADO","En proceso"))))))</f>
        <v/>
      </c>
    </row>
    <row r="144" ht="15" customHeight="1">
      <c r="A144" s="8">
        <f>IF(B144="","",ROW()-2)</f>
        <v/>
      </c>
      <c r="B144" s="9" t="n"/>
      <c r="C144" s="9" t="n"/>
      <c r="D144" s="12" t="n"/>
      <c r="E144" s="9" t="n"/>
      <c r="F144" s="9" t="n"/>
      <c r="G144" s="9" t="n"/>
      <c r="H144" s="12" t="n"/>
      <c r="I144" s="8">
        <f>IF(B144="","",IF(AND(F144&lt;&gt;"",SUMPRODUCT(--ISNUMBER(SEARCH(Preseleccionados!$A$2:$A$11,F144)))&gt;0),"YA ESTÁ",IF(AND(F144&lt;&gt;"",COUNTIF($F$3:F144,F144)&gt;1),"REPETIDO","")))</f>
        <v/>
      </c>
      <c r="J144" s="8">
        <f>IF(OR(B144="",I144&lt;&gt;""),"",IF(MOD(COUNTIFS($B$3:B144,"&lt;&gt;",$I$3:I144,""),2)=1,"Carlos","Joaquín"))</f>
        <v/>
      </c>
      <c r="K144" s="11" t="n"/>
      <c r="L144" s="11" t="n"/>
      <c r="M144" s="11" t="n"/>
      <c r="N144" s="11" t="n"/>
      <c r="O144" s="11" t="n"/>
      <c r="P144" s="8">
        <f>IF(J144="","",IF(K144="Sale","Descartado",IF(L144="Sale","Descartado",IF(OR(M144="Q3",M144="Q4",M144="No aparece"),"Descartado",IF(N144="Sale","Descartado",IF(O144="Sigue","APROBADO","En proceso"))))))</f>
        <v/>
      </c>
    </row>
    <row r="145" ht="15" customHeight="1">
      <c r="A145" s="8">
        <f>IF(B145="","",ROW()-2)</f>
        <v/>
      </c>
      <c r="B145" s="9" t="n"/>
      <c r="C145" s="9" t="n"/>
      <c r="D145" s="12" t="n"/>
      <c r="E145" s="9" t="n"/>
      <c r="F145" s="9" t="n"/>
      <c r="G145" s="9" t="n"/>
      <c r="H145" s="12" t="n"/>
      <c r="I145" s="8">
        <f>IF(B145="","",IF(AND(F145&lt;&gt;"",SUMPRODUCT(--ISNUMBER(SEARCH(Preseleccionados!$A$2:$A$11,F145)))&gt;0),"YA ESTÁ",IF(AND(F145&lt;&gt;"",COUNTIF($F$3:F145,F145)&gt;1),"REPETIDO","")))</f>
        <v/>
      </c>
      <c r="J145" s="8">
        <f>IF(OR(B145="",I145&lt;&gt;""),"",IF(MOD(COUNTIFS($B$3:B145,"&lt;&gt;",$I$3:I145,""),2)=1,"Carlos","Joaquín"))</f>
        <v/>
      </c>
      <c r="K145" s="11" t="n"/>
      <c r="L145" s="11" t="n"/>
      <c r="M145" s="11" t="n"/>
      <c r="N145" s="11" t="n"/>
      <c r="O145" s="11" t="n"/>
      <c r="P145" s="8">
        <f>IF(J145="","",IF(K145="Sale","Descartado",IF(L145="Sale","Descartado",IF(OR(M145="Q3",M145="Q4",M145="No aparece"),"Descartado",IF(N145="Sale","Descartado",IF(O145="Sigue","APROBADO","En proceso"))))))</f>
        <v/>
      </c>
    </row>
    <row r="146" ht="15" customHeight="1">
      <c r="A146" s="8">
        <f>IF(B146="","",ROW()-2)</f>
        <v/>
      </c>
      <c r="B146" s="9" t="n"/>
      <c r="C146" s="9" t="n"/>
      <c r="D146" s="12" t="n"/>
      <c r="E146" s="9" t="n"/>
      <c r="F146" s="9" t="n"/>
      <c r="G146" s="9" t="n"/>
      <c r="H146" s="12" t="n"/>
      <c r="I146" s="8">
        <f>IF(B146="","",IF(AND(F146&lt;&gt;"",SUMPRODUCT(--ISNUMBER(SEARCH(Preseleccionados!$A$2:$A$11,F146)))&gt;0),"YA ESTÁ",IF(AND(F146&lt;&gt;"",COUNTIF($F$3:F146,F146)&gt;1),"REPETIDO","")))</f>
        <v/>
      </c>
      <c r="J146" s="8">
        <f>IF(OR(B146="",I146&lt;&gt;""),"",IF(MOD(COUNTIFS($B$3:B146,"&lt;&gt;",$I$3:I146,""),2)=1,"Carlos","Joaquín"))</f>
        <v/>
      </c>
      <c r="K146" s="11" t="n"/>
      <c r="L146" s="11" t="n"/>
      <c r="M146" s="11" t="n"/>
      <c r="N146" s="11" t="n"/>
      <c r="O146" s="11" t="n"/>
      <c r="P146" s="8">
        <f>IF(J146="","",IF(K146="Sale","Descartado",IF(L146="Sale","Descartado",IF(OR(M146="Q3",M146="Q4",M146="No aparece"),"Descartado",IF(N146="Sale","Descartado",IF(O146="Sigue","APROBADO","En proceso"))))))</f>
        <v/>
      </c>
    </row>
    <row r="147" ht="15" customHeight="1">
      <c r="A147" s="8">
        <f>IF(B147="","",ROW()-2)</f>
        <v/>
      </c>
      <c r="B147" s="9" t="n"/>
      <c r="C147" s="9" t="n"/>
      <c r="D147" s="12" t="n"/>
      <c r="E147" s="9" t="n"/>
      <c r="F147" s="9" t="n"/>
      <c r="G147" s="9" t="n"/>
      <c r="H147" s="12" t="n"/>
      <c r="I147" s="8">
        <f>IF(B147="","",IF(AND(F147&lt;&gt;"",SUMPRODUCT(--ISNUMBER(SEARCH(Preseleccionados!$A$2:$A$11,F147)))&gt;0),"YA ESTÁ",IF(AND(F147&lt;&gt;"",COUNTIF($F$3:F147,F147)&gt;1),"REPETIDO","")))</f>
        <v/>
      </c>
      <c r="J147" s="8">
        <f>IF(OR(B147="",I147&lt;&gt;""),"",IF(MOD(COUNTIFS($B$3:B147,"&lt;&gt;",$I$3:I147,""),2)=1,"Carlos","Joaquín"))</f>
        <v/>
      </c>
      <c r="K147" s="11" t="n"/>
      <c r="L147" s="11" t="n"/>
      <c r="M147" s="11" t="n"/>
      <c r="N147" s="11" t="n"/>
      <c r="O147" s="11" t="n"/>
      <c r="P147" s="8">
        <f>IF(J147="","",IF(K147="Sale","Descartado",IF(L147="Sale","Descartado",IF(OR(M147="Q3",M147="Q4",M147="No aparece"),"Descartado",IF(N147="Sale","Descartado",IF(O147="Sigue","APROBADO","En proceso"))))))</f>
        <v/>
      </c>
    </row>
    <row r="148" ht="15" customHeight="1">
      <c r="A148" s="8">
        <f>IF(B148="","",ROW()-2)</f>
        <v/>
      </c>
      <c r="B148" s="9" t="n"/>
      <c r="C148" s="9" t="n"/>
      <c r="D148" s="12" t="n"/>
      <c r="E148" s="9" t="n"/>
      <c r="F148" s="9" t="n"/>
      <c r="G148" s="9" t="n"/>
      <c r="H148" s="12" t="n"/>
      <c r="I148" s="8">
        <f>IF(B148="","",IF(AND(F148&lt;&gt;"",SUMPRODUCT(--ISNUMBER(SEARCH(Preseleccionados!$A$2:$A$11,F148)))&gt;0),"YA ESTÁ",IF(AND(F148&lt;&gt;"",COUNTIF($F$3:F148,F148)&gt;1),"REPETIDO","")))</f>
        <v/>
      </c>
      <c r="J148" s="8">
        <f>IF(OR(B148="",I148&lt;&gt;""),"",IF(MOD(COUNTIFS($B$3:B148,"&lt;&gt;",$I$3:I148,""),2)=1,"Carlos","Joaquín"))</f>
        <v/>
      </c>
      <c r="K148" s="11" t="n"/>
      <c r="L148" s="11" t="n"/>
      <c r="M148" s="11" t="n"/>
      <c r="N148" s="11" t="n"/>
      <c r="O148" s="11" t="n"/>
      <c r="P148" s="8">
        <f>IF(J148="","",IF(K148="Sale","Descartado",IF(L148="Sale","Descartado",IF(OR(M148="Q3",M148="Q4",M148="No aparece"),"Descartado",IF(N148="Sale","Descartado",IF(O148="Sigue","APROBADO","En proceso"))))))</f>
        <v/>
      </c>
    </row>
    <row r="149" ht="15" customHeight="1">
      <c r="A149" s="8">
        <f>IF(B149="","",ROW()-2)</f>
        <v/>
      </c>
      <c r="B149" s="9" t="n"/>
      <c r="C149" s="9" t="n"/>
      <c r="D149" s="12" t="n"/>
      <c r="E149" s="9" t="n"/>
      <c r="F149" s="9" t="n"/>
      <c r="G149" s="9" t="n"/>
      <c r="H149" s="12" t="n"/>
      <c r="I149" s="8">
        <f>IF(B149="","",IF(AND(F149&lt;&gt;"",SUMPRODUCT(--ISNUMBER(SEARCH(Preseleccionados!$A$2:$A$11,F149)))&gt;0),"YA ESTÁ",IF(AND(F149&lt;&gt;"",COUNTIF($F$3:F149,F149)&gt;1),"REPETIDO","")))</f>
        <v/>
      </c>
      <c r="J149" s="8">
        <f>IF(OR(B149="",I149&lt;&gt;""),"",IF(MOD(COUNTIFS($B$3:B149,"&lt;&gt;",$I$3:I149,""),2)=1,"Carlos","Joaquín"))</f>
        <v/>
      </c>
      <c r="K149" s="11" t="n"/>
      <c r="L149" s="11" t="n"/>
      <c r="M149" s="11" t="n"/>
      <c r="N149" s="11" t="n"/>
      <c r="O149" s="11" t="n"/>
      <c r="P149" s="8">
        <f>IF(J149="","",IF(K149="Sale","Descartado",IF(L149="Sale","Descartado",IF(OR(M149="Q3",M149="Q4",M149="No aparece"),"Descartado",IF(N149="Sale","Descartado",IF(O149="Sigue","APROBADO","En proceso"))))))</f>
        <v/>
      </c>
    </row>
    <row r="150" ht="15" customHeight="1">
      <c r="A150" s="8">
        <f>IF(B150="","",ROW()-2)</f>
        <v/>
      </c>
      <c r="B150" s="9" t="n"/>
      <c r="C150" s="9" t="n"/>
      <c r="D150" s="12" t="n"/>
      <c r="E150" s="9" t="n"/>
      <c r="F150" s="9" t="n"/>
      <c r="G150" s="9" t="n"/>
      <c r="H150" s="12" t="n"/>
      <c r="I150" s="8">
        <f>IF(B150="","",IF(AND(F150&lt;&gt;"",SUMPRODUCT(--ISNUMBER(SEARCH(Preseleccionados!$A$2:$A$11,F150)))&gt;0),"YA ESTÁ",IF(AND(F150&lt;&gt;"",COUNTIF($F$3:F150,F150)&gt;1),"REPETIDO","")))</f>
        <v/>
      </c>
      <c r="J150" s="8">
        <f>IF(OR(B150="",I150&lt;&gt;""),"",IF(MOD(COUNTIFS($B$3:B150,"&lt;&gt;",$I$3:I150,""),2)=1,"Carlos","Joaquín"))</f>
        <v/>
      </c>
      <c r="K150" s="11" t="n"/>
      <c r="L150" s="11" t="n"/>
      <c r="M150" s="11" t="n"/>
      <c r="N150" s="11" t="n"/>
      <c r="O150" s="11" t="n"/>
      <c r="P150" s="8">
        <f>IF(J150="","",IF(K150="Sale","Descartado",IF(L150="Sale","Descartado",IF(OR(M150="Q3",M150="Q4",M150="No aparece"),"Descartado",IF(N150="Sale","Descartado",IF(O150="Sigue","APROBADO","En proceso"))))))</f>
        <v/>
      </c>
    </row>
    <row r="151" ht="15" customHeight="1">
      <c r="A151" s="8">
        <f>IF(B151="","",ROW()-2)</f>
        <v/>
      </c>
      <c r="B151" s="9" t="n"/>
      <c r="C151" s="9" t="n"/>
      <c r="D151" s="12" t="n"/>
      <c r="E151" s="9" t="n"/>
      <c r="F151" s="9" t="n"/>
      <c r="G151" s="9" t="n"/>
      <c r="H151" s="12" t="n"/>
      <c r="I151" s="8">
        <f>IF(B151="","",IF(AND(F151&lt;&gt;"",SUMPRODUCT(--ISNUMBER(SEARCH(Preseleccionados!$A$2:$A$11,F151)))&gt;0),"YA ESTÁ",IF(AND(F151&lt;&gt;"",COUNTIF($F$3:F151,F151)&gt;1),"REPETIDO","")))</f>
        <v/>
      </c>
      <c r="J151" s="8">
        <f>IF(OR(B151="",I151&lt;&gt;""),"",IF(MOD(COUNTIFS($B$3:B151,"&lt;&gt;",$I$3:I151,""),2)=1,"Carlos","Joaquín"))</f>
        <v/>
      </c>
      <c r="K151" s="11" t="n"/>
      <c r="L151" s="11" t="n"/>
      <c r="M151" s="11" t="n"/>
      <c r="N151" s="11" t="n"/>
      <c r="O151" s="11" t="n"/>
      <c r="P151" s="8">
        <f>IF(J151="","",IF(K151="Sale","Descartado",IF(L151="Sale","Descartado",IF(OR(M151="Q3",M151="Q4",M151="No aparece"),"Descartado",IF(N151="Sale","Descartado",IF(O151="Sigue","APROBADO","En proceso"))))))</f>
        <v/>
      </c>
    </row>
    <row r="152" ht="15" customHeight="1">
      <c r="A152" s="8">
        <f>IF(B152="","",ROW()-2)</f>
        <v/>
      </c>
      <c r="B152" s="9" t="n"/>
      <c r="C152" s="9" t="n"/>
      <c r="D152" s="12" t="n"/>
      <c r="E152" s="9" t="n"/>
      <c r="F152" s="9" t="n"/>
      <c r="G152" s="9" t="n"/>
      <c r="H152" s="12" t="n"/>
      <c r="I152" s="8">
        <f>IF(B152="","",IF(AND(F152&lt;&gt;"",SUMPRODUCT(--ISNUMBER(SEARCH(Preseleccionados!$A$2:$A$11,F152)))&gt;0),"YA ESTÁ",IF(AND(F152&lt;&gt;"",COUNTIF($F$3:F152,F152)&gt;1),"REPETIDO","")))</f>
        <v/>
      </c>
      <c r="J152" s="8">
        <f>IF(OR(B152="",I152&lt;&gt;""),"",IF(MOD(COUNTIFS($B$3:B152,"&lt;&gt;",$I$3:I152,""),2)=1,"Carlos","Joaquín"))</f>
        <v/>
      </c>
      <c r="K152" s="11" t="n"/>
      <c r="L152" s="11" t="n"/>
      <c r="M152" s="11" t="n"/>
      <c r="N152" s="11" t="n"/>
      <c r="O152" s="11" t="n"/>
      <c r="P152" s="8">
        <f>IF(J152="","",IF(K152="Sale","Descartado",IF(L152="Sale","Descartado",IF(OR(M152="Q3",M152="Q4",M152="No aparece"),"Descartado",IF(N152="Sale","Descartado",IF(O152="Sigue","APROBADO","En proceso"))))))</f>
        <v/>
      </c>
    </row>
    <row r="153" ht="15" customHeight="1">
      <c r="A153" s="8">
        <f>IF(B153="","",ROW()-2)</f>
        <v/>
      </c>
      <c r="B153" s="9" t="n"/>
      <c r="C153" s="9" t="n"/>
      <c r="D153" s="12" t="n"/>
      <c r="E153" s="9" t="n"/>
      <c r="F153" s="9" t="n"/>
      <c r="G153" s="9" t="n"/>
      <c r="H153" s="12" t="n"/>
      <c r="I153" s="8">
        <f>IF(B153="","",IF(AND(F153&lt;&gt;"",SUMPRODUCT(--ISNUMBER(SEARCH(Preseleccionados!$A$2:$A$11,F153)))&gt;0),"YA ESTÁ",IF(AND(F153&lt;&gt;"",COUNTIF($F$3:F153,F153)&gt;1),"REPETIDO","")))</f>
        <v/>
      </c>
      <c r="J153" s="8">
        <f>IF(OR(B153="",I153&lt;&gt;""),"",IF(MOD(COUNTIFS($B$3:B153,"&lt;&gt;",$I$3:I153,""),2)=1,"Carlos","Joaquín"))</f>
        <v/>
      </c>
      <c r="K153" s="11" t="n"/>
      <c r="L153" s="11" t="n"/>
      <c r="M153" s="11" t="n"/>
      <c r="N153" s="11" t="n"/>
      <c r="O153" s="11" t="n"/>
      <c r="P153" s="8">
        <f>IF(J153="","",IF(K153="Sale","Descartado",IF(L153="Sale","Descartado",IF(OR(M153="Q3",M153="Q4",M153="No aparece"),"Descartado",IF(N153="Sale","Descartado",IF(O153="Sigue","APROBADO","En proceso"))))))</f>
        <v/>
      </c>
    </row>
    <row r="154" ht="15" customHeight="1">
      <c r="A154" s="8">
        <f>IF(B154="","",ROW()-2)</f>
        <v/>
      </c>
      <c r="B154" s="9" t="n"/>
      <c r="C154" s="9" t="n"/>
      <c r="D154" s="12" t="n"/>
      <c r="E154" s="9" t="n"/>
      <c r="F154" s="9" t="n"/>
      <c r="G154" s="9" t="n"/>
      <c r="H154" s="12" t="n"/>
      <c r="I154" s="8">
        <f>IF(B154="","",IF(AND(F154&lt;&gt;"",SUMPRODUCT(--ISNUMBER(SEARCH(Preseleccionados!$A$2:$A$11,F154)))&gt;0),"YA ESTÁ",IF(AND(F154&lt;&gt;"",COUNTIF($F$3:F154,F154)&gt;1),"REPETIDO","")))</f>
        <v/>
      </c>
      <c r="J154" s="8">
        <f>IF(OR(B154="",I154&lt;&gt;""),"",IF(MOD(COUNTIFS($B$3:B154,"&lt;&gt;",$I$3:I154,""),2)=1,"Carlos","Joaquín"))</f>
        <v/>
      </c>
      <c r="K154" s="11" t="n"/>
      <c r="L154" s="11" t="n"/>
      <c r="M154" s="11" t="n"/>
      <c r="N154" s="11" t="n"/>
      <c r="O154" s="11" t="n"/>
      <c r="P154" s="8">
        <f>IF(J154="","",IF(K154="Sale","Descartado",IF(L154="Sale","Descartado",IF(OR(M154="Q3",M154="Q4",M154="No aparece"),"Descartado",IF(N154="Sale","Descartado",IF(O154="Sigue","APROBADO","En proceso"))))))</f>
        <v/>
      </c>
    </row>
    <row r="155" ht="15" customHeight="1">
      <c r="A155" s="8">
        <f>IF(B155="","",ROW()-2)</f>
        <v/>
      </c>
      <c r="B155" s="9" t="n"/>
      <c r="C155" s="9" t="n"/>
      <c r="D155" s="12" t="n"/>
      <c r="E155" s="9" t="n"/>
      <c r="F155" s="9" t="n"/>
      <c r="G155" s="9" t="n"/>
      <c r="H155" s="12" t="n"/>
      <c r="I155" s="8">
        <f>IF(B155="","",IF(AND(F155&lt;&gt;"",SUMPRODUCT(--ISNUMBER(SEARCH(Preseleccionados!$A$2:$A$11,F155)))&gt;0),"YA ESTÁ",IF(AND(F155&lt;&gt;"",COUNTIF($F$3:F155,F155)&gt;1),"REPETIDO","")))</f>
        <v/>
      </c>
      <c r="J155" s="8">
        <f>IF(OR(B155="",I155&lt;&gt;""),"",IF(MOD(COUNTIFS($B$3:B155,"&lt;&gt;",$I$3:I155,""),2)=1,"Carlos","Joaquín"))</f>
        <v/>
      </c>
      <c r="K155" s="11" t="n"/>
      <c r="L155" s="11" t="n"/>
      <c r="M155" s="11" t="n"/>
      <c r="N155" s="11" t="n"/>
      <c r="O155" s="11" t="n"/>
      <c r="P155" s="8">
        <f>IF(J155="","",IF(K155="Sale","Descartado",IF(L155="Sale","Descartado",IF(OR(M155="Q3",M155="Q4",M155="No aparece"),"Descartado",IF(N155="Sale","Descartado",IF(O155="Sigue","APROBADO","En proceso"))))))</f>
        <v/>
      </c>
    </row>
    <row r="156" ht="15" customHeight="1">
      <c r="A156" s="8">
        <f>IF(B156="","",ROW()-2)</f>
        <v/>
      </c>
      <c r="B156" s="9" t="n"/>
      <c r="C156" s="9" t="n"/>
      <c r="D156" s="12" t="n"/>
      <c r="E156" s="9" t="n"/>
      <c r="F156" s="9" t="n"/>
      <c r="G156" s="9" t="n"/>
      <c r="H156" s="12" t="n"/>
      <c r="I156" s="8">
        <f>IF(B156="","",IF(AND(F156&lt;&gt;"",SUMPRODUCT(--ISNUMBER(SEARCH(Preseleccionados!$A$2:$A$11,F156)))&gt;0),"YA ESTÁ",IF(AND(F156&lt;&gt;"",COUNTIF($F$3:F156,F156)&gt;1),"REPETIDO","")))</f>
        <v/>
      </c>
      <c r="J156" s="8">
        <f>IF(OR(B156="",I156&lt;&gt;""),"",IF(MOD(COUNTIFS($B$3:B156,"&lt;&gt;",$I$3:I156,""),2)=1,"Carlos","Joaquín"))</f>
        <v/>
      </c>
      <c r="K156" s="11" t="n"/>
      <c r="L156" s="11" t="n"/>
      <c r="M156" s="11" t="n"/>
      <c r="N156" s="11" t="n"/>
      <c r="O156" s="11" t="n"/>
      <c r="P156" s="8">
        <f>IF(J156="","",IF(K156="Sale","Descartado",IF(L156="Sale","Descartado",IF(OR(M156="Q3",M156="Q4",M156="No aparece"),"Descartado",IF(N156="Sale","Descartado",IF(O156="Sigue","APROBADO","En proceso"))))))</f>
        <v/>
      </c>
    </row>
    <row r="157" ht="15" customHeight="1">
      <c r="A157" s="8">
        <f>IF(B157="","",ROW()-2)</f>
        <v/>
      </c>
      <c r="B157" s="9" t="n"/>
      <c r="C157" s="9" t="n"/>
      <c r="D157" s="12" t="n"/>
      <c r="E157" s="9" t="n"/>
      <c r="F157" s="9" t="n"/>
      <c r="G157" s="9" t="n"/>
      <c r="H157" s="12" t="n"/>
      <c r="I157" s="8">
        <f>IF(B157="","",IF(AND(F157&lt;&gt;"",SUMPRODUCT(--ISNUMBER(SEARCH(Preseleccionados!$A$2:$A$11,F157)))&gt;0),"YA ESTÁ",IF(AND(F157&lt;&gt;"",COUNTIF($F$3:F157,F157)&gt;1),"REPETIDO","")))</f>
        <v/>
      </c>
      <c r="J157" s="8">
        <f>IF(OR(B157="",I157&lt;&gt;""),"",IF(MOD(COUNTIFS($B$3:B157,"&lt;&gt;",$I$3:I157,""),2)=1,"Carlos","Joaquín"))</f>
        <v/>
      </c>
      <c r="K157" s="11" t="n"/>
      <c r="L157" s="11" t="n"/>
      <c r="M157" s="11" t="n"/>
      <c r="N157" s="11" t="n"/>
      <c r="O157" s="11" t="n"/>
      <c r="P157" s="8">
        <f>IF(J157="","",IF(K157="Sale","Descartado",IF(L157="Sale","Descartado",IF(OR(M157="Q3",M157="Q4",M157="No aparece"),"Descartado",IF(N157="Sale","Descartado",IF(O157="Sigue","APROBADO","En proceso"))))))</f>
        <v/>
      </c>
    </row>
    <row r="158" ht="15" customHeight="1">
      <c r="A158" s="8">
        <f>IF(B158="","",ROW()-2)</f>
        <v/>
      </c>
      <c r="B158" s="9" t="n"/>
      <c r="C158" s="9" t="n"/>
      <c r="D158" s="12" t="n"/>
      <c r="E158" s="9" t="n"/>
      <c r="F158" s="9" t="n"/>
      <c r="G158" s="9" t="n"/>
      <c r="H158" s="12" t="n"/>
      <c r="I158" s="8">
        <f>IF(B158="","",IF(AND(F158&lt;&gt;"",SUMPRODUCT(--ISNUMBER(SEARCH(Preseleccionados!$A$2:$A$11,F158)))&gt;0),"YA ESTÁ",IF(AND(F158&lt;&gt;"",COUNTIF($F$3:F158,F158)&gt;1),"REPETIDO","")))</f>
        <v/>
      </c>
      <c r="J158" s="8">
        <f>IF(OR(B158="",I158&lt;&gt;""),"",IF(MOD(COUNTIFS($B$3:B158,"&lt;&gt;",$I$3:I158,""),2)=1,"Carlos","Joaquín"))</f>
        <v/>
      </c>
      <c r="K158" s="11" t="n"/>
      <c r="L158" s="11" t="n"/>
      <c r="M158" s="11" t="n"/>
      <c r="N158" s="11" t="n"/>
      <c r="O158" s="11" t="n"/>
      <c r="P158" s="8">
        <f>IF(J158="","",IF(K158="Sale","Descartado",IF(L158="Sale","Descartado",IF(OR(M158="Q3",M158="Q4",M158="No aparece"),"Descartado",IF(N158="Sale","Descartado",IF(O158="Sigue","APROBADO","En proceso"))))))</f>
        <v/>
      </c>
    </row>
    <row r="159" ht="15" customHeight="1">
      <c r="A159" s="8">
        <f>IF(B159="","",ROW()-2)</f>
        <v/>
      </c>
      <c r="B159" s="9" t="n"/>
      <c r="C159" s="9" t="n"/>
      <c r="D159" s="12" t="n"/>
      <c r="E159" s="9" t="n"/>
      <c r="F159" s="9" t="n"/>
      <c r="G159" s="9" t="n"/>
      <c r="H159" s="12" t="n"/>
      <c r="I159" s="8">
        <f>IF(B159="","",IF(AND(F159&lt;&gt;"",SUMPRODUCT(--ISNUMBER(SEARCH(Preseleccionados!$A$2:$A$11,F159)))&gt;0),"YA ESTÁ",IF(AND(F159&lt;&gt;"",COUNTIF($F$3:F159,F159)&gt;1),"REPETIDO","")))</f>
        <v/>
      </c>
      <c r="J159" s="8">
        <f>IF(OR(B159="",I159&lt;&gt;""),"",IF(MOD(COUNTIFS($B$3:B159,"&lt;&gt;",$I$3:I159,""),2)=1,"Carlos","Joaquín"))</f>
        <v/>
      </c>
      <c r="K159" s="11" t="n"/>
      <c r="L159" s="11" t="n"/>
      <c r="M159" s="11" t="n"/>
      <c r="N159" s="11" t="n"/>
      <c r="O159" s="11" t="n"/>
      <c r="P159" s="8">
        <f>IF(J159="","",IF(K159="Sale","Descartado",IF(L159="Sale","Descartado",IF(OR(M159="Q3",M159="Q4",M159="No aparece"),"Descartado",IF(N159="Sale","Descartado",IF(O159="Sigue","APROBADO","En proceso"))))))</f>
        <v/>
      </c>
    </row>
    <row r="160" ht="15" customHeight="1">
      <c r="A160" s="8">
        <f>IF(B160="","",ROW()-2)</f>
        <v/>
      </c>
      <c r="B160" s="9" t="n"/>
      <c r="C160" s="9" t="n"/>
      <c r="D160" s="12" t="n"/>
      <c r="E160" s="9" t="n"/>
      <c r="F160" s="9" t="n"/>
      <c r="G160" s="9" t="n"/>
      <c r="H160" s="12" t="n"/>
      <c r="I160" s="8">
        <f>IF(B160="","",IF(AND(F160&lt;&gt;"",SUMPRODUCT(--ISNUMBER(SEARCH(Preseleccionados!$A$2:$A$11,F160)))&gt;0),"YA ESTÁ",IF(AND(F160&lt;&gt;"",COUNTIF($F$3:F160,F160)&gt;1),"REPETIDO","")))</f>
        <v/>
      </c>
      <c r="J160" s="8">
        <f>IF(OR(B160="",I160&lt;&gt;""),"",IF(MOD(COUNTIFS($B$3:B160,"&lt;&gt;",$I$3:I160,""),2)=1,"Carlos","Joaquín"))</f>
        <v/>
      </c>
      <c r="K160" s="11" t="n"/>
      <c r="L160" s="11" t="n"/>
      <c r="M160" s="11" t="n"/>
      <c r="N160" s="11" t="n"/>
      <c r="O160" s="11" t="n"/>
      <c r="P160" s="8">
        <f>IF(J160="","",IF(K160="Sale","Descartado",IF(L160="Sale","Descartado",IF(OR(M160="Q3",M160="Q4",M160="No aparece"),"Descartado",IF(N160="Sale","Descartado",IF(O160="Sigue","APROBADO","En proceso"))))))</f>
        <v/>
      </c>
    </row>
    <row r="161" ht="15" customHeight="1">
      <c r="A161" s="8">
        <f>IF(B161="","",ROW()-2)</f>
        <v/>
      </c>
      <c r="B161" s="9" t="n"/>
      <c r="C161" s="9" t="n"/>
      <c r="D161" s="12" t="n"/>
      <c r="E161" s="9" t="n"/>
      <c r="F161" s="9" t="n"/>
      <c r="G161" s="9" t="n"/>
      <c r="H161" s="12" t="n"/>
      <c r="I161" s="8">
        <f>IF(B161="","",IF(AND(F161&lt;&gt;"",SUMPRODUCT(--ISNUMBER(SEARCH(Preseleccionados!$A$2:$A$11,F161)))&gt;0),"YA ESTÁ",IF(AND(F161&lt;&gt;"",COUNTIF($F$3:F161,F161)&gt;1),"REPETIDO","")))</f>
        <v/>
      </c>
      <c r="J161" s="8">
        <f>IF(OR(B161="",I161&lt;&gt;""),"",IF(MOD(COUNTIFS($B$3:B161,"&lt;&gt;",$I$3:I161,""),2)=1,"Carlos","Joaquín"))</f>
        <v/>
      </c>
      <c r="K161" s="11" t="n"/>
      <c r="L161" s="11" t="n"/>
      <c r="M161" s="11" t="n"/>
      <c r="N161" s="11" t="n"/>
      <c r="O161" s="11" t="n"/>
      <c r="P161" s="8">
        <f>IF(J161="","",IF(K161="Sale","Descartado",IF(L161="Sale","Descartado",IF(OR(M161="Q3",M161="Q4",M161="No aparece"),"Descartado",IF(N161="Sale","Descartado",IF(O161="Sigue","APROBADO","En proceso"))))))</f>
        <v/>
      </c>
    </row>
    <row r="162" ht="15" customHeight="1">
      <c r="A162" s="8">
        <f>IF(B162="","",ROW()-2)</f>
        <v/>
      </c>
      <c r="B162" s="9" t="n"/>
      <c r="C162" s="9" t="n"/>
      <c r="D162" s="12" t="n"/>
      <c r="E162" s="9" t="n"/>
      <c r="F162" s="9" t="n"/>
      <c r="G162" s="9" t="n"/>
      <c r="H162" s="12" t="n"/>
      <c r="I162" s="8">
        <f>IF(B162="","",IF(AND(F162&lt;&gt;"",SUMPRODUCT(--ISNUMBER(SEARCH(Preseleccionados!$A$2:$A$11,F162)))&gt;0),"YA ESTÁ",IF(AND(F162&lt;&gt;"",COUNTIF($F$3:F162,F162)&gt;1),"REPETIDO","")))</f>
        <v/>
      </c>
      <c r="J162" s="8">
        <f>IF(OR(B162="",I162&lt;&gt;""),"",IF(MOD(COUNTIFS($B$3:B162,"&lt;&gt;",$I$3:I162,""),2)=1,"Carlos","Joaquín"))</f>
        <v/>
      </c>
      <c r="K162" s="11" t="n"/>
      <c r="L162" s="11" t="n"/>
      <c r="M162" s="11" t="n"/>
      <c r="N162" s="11" t="n"/>
      <c r="O162" s="11" t="n"/>
      <c r="P162" s="8">
        <f>IF(J162="","",IF(K162="Sale","Descartado",IF(L162="Sale","Descartado",IF(OR(M162="Q3",M162="Q4",M162="No aparece"),"Descartado",IF(N162="Sale","Descartado",IF(O162="Sigue","APROBADO","En proceso"))))))</f>
        <v/>
      </c>
    </row>
    <row r="163" ht="15" customHeight="1">
      <c r="A163" s="8">
        <f>IF(B163="","",ROW()-2)</f>
        <v/>
      </c>
      <c r="B163" s="9" t="n"/>
      <c r="C163" s="9" t="n"/>
      <c r="D163" s="12" t="n"/>
      <c r="E163" s="9" t="n"/>
      <c r="F163" s="9" t="n"/>
      <c r="G163" s="9" t="n"/>
      <c r="H163" s="12" t="n"/>
      <c r="I163" s="8">
        <f>IF(B163="","",IF(AND(F163&lt;&gt;"",SUMPRODUCT(--ISNUMBER(SEARCH(Preseleccionados!$A$2:$A$11,F163)))&gt;0),"YA ESTÁ",IF(AND(F163&lt;&gt;"",COUNTIF($F$3:F163,F163)&gt;1),"REPETIDO","")))</f>
        <v/>
      </c>
      <c r="J163" s="8">
        <f>IF(OR(B163="",I163&lt;&gt;""),"",IF(MOD(COUNTIFS($B$3:B163,"&lt;&gt;",$I$3:I163,""),2)=1,"Carlos","Joaquín"))</f>
        <v/>
      </c>
      <c r="K163" s="11" t="n"/>
      <c r="L163" s="11" t="n"/>
      <c r="M163" s="11" t="n"/>
      <c r="N163" s="11" t="n"/>
      <c r="O163" s="11" t="n"/>
      <c r="P163" s="8">
        <f>IF(J163="","",IF(K163="Sale","Descartado",IF(L163="Sale","Descartado",IF(OR(M163="Q3",M163="Q4",M163="No aparece"),"Descartado",IF(N163="Sale","Descartado",IF(O163="Sigue","APROBADO","En proceso"))))))</f>
        <v/>
      </c>
    </row>
    <row r="164" ht="15" customHeight="1">
      <c r="A164" s="8">
        <f>IF(B164="","",ROW()-2)</f>
        <v/>
      </c>
      <c r="B164" s="9" t="n"/>
      <c r="C164" s="9" t="n"/>
      <c r="D164" s="12" t="n"/>
      <c r="E164" s="9" t="n"/>
      <c r="F164" s="9" t="n"/>
      <c r="G164" s="9" t="n"/>
      <c r="H164" s="12" t="n"/>
      <c r="I164" s="8">
        <f>IF(B164="","",IF(AND(F164&lt;&gt;"",SUMPRODUCT(--ISNUMBER(SEARCH(Preseleccionados!$A$2:$A$11,F164)))&gt;0),"YA ESTÁ",IF(AND(F164&lt;&gt;"",COUNTIF($F$3:F164,F164)&gt;1),"REPETIDO","")))</f>
        <v/>
      </c>
      <c r="J164" s="8">
        <f>IF(OR(B164="",I164&lt;&gt;""),"",IF(MOD(COUNTIFS($B$3:B164,"&lt;&gt;",$I$3:I164,""),2)=1,"Carlos","Joaquín"))</f>
        <v/>
      </c>
      <c r="K164" s="11" t="n"/>
      <c r="L164" s="11" t="n"/>
      <c r="M164" s="11" t="n"/>
      <c r="N164" s="11" t="n"/>
      <c r="O164" s="11" t="n"/>
      <c r="P164" s="8">
        <f>IF(J164="","",IF(K164="Sale","Descartado",IF(L164="Sale","Descartado",IF(OR(M164="Q3",M164="Q4",M164="No aparece"),"Descartado",IF(N164="Sale","Descartado",IF(O164="Sigue","APROBADO","En proceso"))))))</f>
        <v/>
      </c>
    </row>
    <row r="165" ht="15" customHeight="1">
      <c r="A165" s="8">
        <f>IF(B165="","",ROW()-2)</f>
        <v/>
      </c>
      <c r="B165" s="9" t="n"/>
      <c r="C165" s="9" t="n"/>
      <c r="D165" s="12" t="n"/>
      <c r="E165" s="9" t="n"/>
      <c r="F165" s="9" t="n"/>
      <c r="G165" s="9" t="n"/>
      <c r="H165" s="12" t="n"/>
      <c r="I165" s="8">
        <f>IF(B165="","",IF(AND(F165&lt;&gt;"",SUMPRODUCT(--ISNUMBER(SEARCH(Preseleccionados!$A$2:$A$11,F165)))&gt;0),"YA ESTÁ",IF(AND(F165&lt;&gt;"",COUNTIF($F$3:F165,F165)&gt;1),"REPETIDO","")))</f>
        <v/>
      </c>
      <c r="J165" s="8">
        <f>IF(OR(B165="",I165&lt;&gt;""),"",IF(MOD(COUNTIFS($B$3:B165,"&lt;&gt;",$I$3:I165,""),2)=1,"Carlos","Joaquín"))</f>
        <v/>
      </c>
      <c r="K165" s="11" t="n"/>
      <c r="L165" s="11" t="n"/>
      <c r="M165" s="11" t="n"/>
      <c r="N165" s="11" t="n"/>
      <c r="O165" s="11" t="n"/>
      <c r="P165" s="8">
        <f>IF(J165="","",IF(K165="Sale","Descartado",IF(L165="Sale","Descartado",IF(OR(M165="Q3",M165="Q4",M165="No aparece"),"Descartado",IF(N165="Sale","Descartado",IF(O165="Sigue","APROBADO","En proceso"))))))</f>
        <v/>
      </c>
    </row>
    <row r="166" ht="15" customHeight="1">
      <c r="A166" s="8">
        <f>IF(B166="","",ROW()-2)</f>
        <v/>
      </c>
      <c r="B166" s="9" t="n"/>
      <c r="C166" s="9" t="n"/>
      <c r="D166" s="12" t="n"/>
      <c r="E166" s="9" t="n"/>
      <c r="F166" s="9" t="n"/>
      <c r="G166" s="9" t="n"/>
      <c r="H166" s="12" t="n"/>
      <c r="I166" s="8">
        <f>IF(B166="","",IF(AND(F166&lt;&gt;"",SUMPRODUCT(--ISNUMBER(SEARCH(Preseleccionados!$A$2:$A$11,F166)))&gt;0),"YA ESTÁ",IF(AND(F166&lt;&gt;"",COUNTIF($F$3:F166,F166)&gt;1),"REPETIDO","")))</f>
        <v/>
      </c>
      <c r="J166" s="8">
        <f>IF(OR(B166="",I166&lt;&gt;""),"",IF(MOD(COUNTIFS($B$3:B166,"&lt;&gt;",$I$3:I166,""),2)=1,"Carlos","Joaquín"))</f>
        <v/>
      </c>
      <c r="K166" s="11" t="n"/>
      <c r="L166" s="11" t="n"/>
      <c r="M166" s="11" t="n"/>
      <c r="N166" s="11" t="n"/>
      <c r="O166" s="11" t="n"/>
      <c r="P166" s="8">
        <f>IF(J166="","",IF(K166="Sale","Descartado",IF(L166="Sale","Descartado",IF(OR(M166="Q3",M166="Q4",M166="No aparece"),"Descartado",IF(N166="Sale","Descartado",IF(O166="Sigue","APROBADO","En proceso"))))))</f>
        <v/>
      </c>
    </row>
    <row r="167" ht="15" customHeight="1">
      <c r="A167" s="8">
        <f>IF(B167="","",ROW()-2)</f>
        <v/>
      </c>
      <c r="B167" s="9" t="n"/>
      <c r="C167" s="9" t="n"/>
      <c r="D167" s="12" t="n"/>
      <c r="E167" s="9" t="n"/>
      <c r="F167" s="9" t="n"/>
      <c r="G167" s="9" t="n"/>
      <c r="H167" s="12" t="n"/>
      <c r="I167" s="8">
        <f>IF(B167="","",IF(AND(F167&lt;&gt;"",SUMPRODUCT(--ISNUMBER(SEARCH(Preseleccionados!$A$2:$A$11,F167)))&gt;0),"YA ESTÁ",IF(AND(F167&lt;&gt;"",COUNTIF($F$3:F167,F167)&gt;1),"REPETIDO","")))</f>
        <v/>
      </c>
      <c r="J167" s="8">
        <f>IF(OR(B167="",I167&lt;&gt;""),"",IF(MOD(COUNTIFS($B$3:B167,"&lt;&gt;",$I$3:I167,""),2)=1,"Carlos","Joaquín"))</f>
        <v/>
      </c>
      <c r="K167" s="11" t="n"/>
      <c r="L167" s="11" t="n"/>
      <c r="M167" s="11" t="n"/>
      <c r="N167" s="11" t="n"/>
      <c r="O167" s="11" t="n"/>
      <c r="P167" s="8">
        <f>IF(J167="","",IF(K167="Sale","Descartado",IF(L167="Sale","Descartado",IF(OR(M167="Q3",M167="Q4",M167="No aparece"),"Descartado",IF(N167="Sale","Descartado",IF(O167="Sigue","APROBADO","En proceso"))))))</f>
        <v/>
      </c>
    </row>
    <row r="168" ht="15" customHeight="1">
      <c r="A168" s="8">
        <f>IF(B168="","",ROW()-2)</f>
        <v/>
      </c>
      <c r="B168" s="9" t="n"/>
      <c r="C168" s="9" t="n"/>
      <c r="D168" s="12" t="n"/>
      <c r="E168" s="9" t="n"/>
      <c r="F168" s="9" t="n"/>
      <c r="G168" s="9" t="n"/>
      <c r="H168" s="12" t="n"/>
      <c r="I168" s="8">
        <f>IF(B168="","",IF(AND(F168&lt;&gt;"",SUMPRODUCT(--ISNUMBER(SEARCH(Preseleccionados!$A$2:$A$11,F168)))&gt;0),"YA ESTÁ",IF(AND(F168&lt;&gt;"",COUNTIF($F$3:F168,F168)&gt;1),"REPETIDO","")))</f>
        <v/>
      </c>
      <c r="J168" s="8">
        <f>IF(OR(B168="",I168&lt;&gt;""),"",IF(MOD(COUNTIFS($B$3:B168,"&lt;&gt;",$I$3:I168,""),2)=1,"Carlos","Joaquín"))</f>
        <v/>
      </c>
      <c r="K168" s="11" t="n"/>
      <c r="L168" s="11" t="n"/>
      <c r="M168" s="11" t="n"/>
      <c r="N168" s="11" t="n"/>
      <c r="O168" s="11" t="n"/>
      <c r="P168" s="8">
        <f>IF(J168="","",IF(K168="Sale","Descartado",IF(L168="Sale","Descartado",IF(OR(M168="Q3",M168="Q4",M168="No aparece"),"Descartado",IF(N168="Sale","Descartado",IF(O168="Sigue","APROBADO","En proceso"))))))</f>
        <v/>
      </c>
    </row>
    <row r="169" ht="15" customHeight="1">
      <c r="A169" s="8">
        <f>IF(B169="","",ROW()-2)</f>
        <v/>
      </c>
      <c r="B169" s="9" t="n"/>
      <c r="C169" s="9" t="n"/>
      <c r="D169" s="12" t="n"/>
      <c r="E169" s="9" t="n"/>
      <c r="F169" s="9" t="n"/>
      <c r="G169" s="9" t="n"/>
      <c r="H169" s="12" t="n"/>
      <c r="I169" s="8">
        <f>IF(B169="","",IF(AND(F169&lt;&gt;"",SUMPRODUCT(--ISNUMBER(SEARCH(Preseleccionados!$A$2:$A$11,F169)))&gt;0),"YA ESTÁ",IF(AND(F169&lt;&gt;"",COUNTIF($F$3:F169,F169)&gt;1),"REPETIDO","")))</f>
        <v/>
      </c>
      <c r="J169" s="8">
        <f>IF(OR(B169="",I169&lt;&gt;""),"",IF(MOD(COUNTIFS($B$3:B169,"&lt;&gt;",$I$3:I169,""),2)=1,"Carlos","Joaquín"))</f>
        <v/>
      </c>
      <c r="K169" s="11" t="n"/>
      <c r="L169" s="11" t="n"/>
      <c r="M169" s="11" t="n"/>
      <c r="N169" s="11" t="n"/>
      <c r="O169" s="11" t="n"/>
      <c r="P169" s="8">
        <f>IF(J169="","",IF(K169="Sale","Descartado",IF(L169="Sale","Descartado",IF(OR(M169="Q3",M169="Q4",M169="No aparece"),"Descartado",IF(N169="Sale","Descartado",IF(O169="Sigue","APROBADO","En proceso"))))))</f>
        <v/>
      </c>
    </row>
    <row r="170" ht="15" customHeight="1">
      <c r="A170" s="8">
        <f>IF(B170="","",ROW()-2)</f>
        <v/>
      </c>
      <c r="B170" s="9" t="n"/>
      <c r="C170" s="9" t="n"/>
      <c r="D170" s="12" t="n"/>
      <c r="E170" s="9" t="n"/>
      <c r="F170" s="9" t="n"/>
      <c r="G170" s="9" t="n"/>
      <c r="H170" s="12" t="n"/>
      <c r="I170" s="8">
        <f>IF(B170="","",IF(AND(F170&lt;&gt;"",SUMPRODUCT(--ISNUMBER(SEARCH(Preseleccionados!$A$2:$A$11,F170)))&gt;0),"YA ESTÁ",IF(AND(F170&lt;&gt;"",COUNTIF($F$3:F170,F170)&gt;1),"REPETIDO","")))</f>
        <v/>
      </c>
      <c r="J170" s="8">
        <f>IF(OR(B170="",I170&lt;&gt;""),"",IF(MOD(COUNTIFS($B$3:B170,"&lt;&gt;",$I$3:I170,""),2)=1,"Carlos","Joaquín"))</f>
        <v/>
      </c>
      <c r="K170" s="11" t="n"/>
      <c r="L170" s="11" t="n"/>
      <c r="M170" s="11" t="n"/>
      <c r="N170" s="11" t="n"/>
      <c r="O170" s="11" t="n"/>
      <c r="P170" s="8">
        <f>IF(J170="","",IF(K170="Sale","Descartado",IF(L170="Sale","Descartado",IF(OR(M170="Q3",M170="Q4",M170="No aparece"),"Descartado",IF(N170="Sale","Descartado",IF(O170="Sigue","APROBADO","En proceso"))))))</f>
        <v/>
      </c>
    </row>
    <row r="171" ht="15" customHeight="1">
      <c r="A171" s="8">
        <f>IF(B171="","",ROW()-2)</f>
        <v/>
      </c>
      <c r="B171" s="9" t="n"/>
      <c r="C171" s="9" t="n"/>
      <c r="D171" s="12" t="n"/>
      <c r="E171" s="9" t="n"/>
      <c r="F171" s="9" t="n"/>
      <c r="G171" s="9" t="n"/>
      <c r="H171" s="12" t="n"/>
      <c r="I171" s="8">
        <f>IF(B171="","",IF(AND(F171&lt;&gt;"",SUMPRODUCT(--ISNUMBER(SEARCH(Preseleccionados!$A$2:$A$11,F171)))&gt;0),"YA ESTÁ",IF(AND(F171&lt;&gt;"",COUNTIF($F$3:F171,F171)&gt;1),"REPETIDO","")))</f>
        <v/>
      </c>
      <c r="J171" s="8">
        <f>IF(OR(B171="",I171&lt;&gt;""),"",IF(MOD(COUNTIFS($B$3:B171,"&lt;&gt;",$I$3:I171,""),2)=1,"Carlos","Joaquín"))</f>
        <v/>
      </c>
      <c r="K171" s="11" t="n"/>
      <c r="L171" s="11" t="n"/>
      <c r="M171" s="11" t="n"/>
      <c r="N171" s="11" t="n"/>
      <c r="O171" s="11" t="n"/>
      <c r="P171" s="8">
        <f>IF(J171="","",IF(K171="Sale","Descartado",IF(L171="Sale","Descartado",IF(OR(M171="Q3",M171="Q4",M171="No aparece"),"Descartado",IF(N171="Sale","Descartado",IF(O171="Sigue","APROBADO","En proceso"))))))</f>
        <v/>
      </c>
    </row>
    <row r="172" ht="15" customHeight="1">
      <c r="A172" s="8">
        <f>IF(B172="","",ROW()-2)</f>
        <v/>
      </c>
      <c r="B172" s="9" t="n"/>
      <c r="C172" s="9" t="n"/>
      <c r="D172" s="12" t="n"/>
      <c r="E172" s="9" t="n"/>
      <c r="F172" s="9" t="n"/>
      <c r="G172" s="9" t="n"/>
      <c r="H172" s="12" t="n"/>
      <c r="I172" s="8">
        <f>IF(B172="","",IF(AND(F172&lt;&gt;"",SUMPRODUCT(--ISNUMBER(SEARCH(Preseleccionados!$A$2:$A$11,F172)))&gt;0),"YA ESTÁ",IF(AND(F172&lt;&gt;"",COUNTIF($F$3:F172,F172)&gt;1),"REPETIDO","")))</f>
        <v/>
      </c>
      <c r="J172" s="8">
        <f>IF(OR(B172="",I172&lt;&gt;""),"",IF(MOD(COUNTIFS($B$3:B172,"&lt;&gt;",$I$3:I172,""),2)=1,"Carlos","Joaquín"))</f>
        <v/>
      </c>
      <c r="K172" s="11" t="n"/>
      <c r="L172" s="11" t="n"/>
      <c r="M172" s="11" t="n"/>
      <c r="N172" s="11" t="n"/>
      <c r="O172" s="11" t="n"/>
      <c r="P172" s="8">
        <f>IF(J172="","",IF(K172="Sale","Descartado",IF(L172="Sale","Descartado",IF(OR(M172="Q3",M172="Q4",M172="No aparece"),"Descartado",IF(N172="Sale","Descartado",IF(O172="Sigue","APROBADO","En proceso"))))))</f>
        <v/>
      </c>
    </row>
    <row r="173" ht="15" customHeight="1">
      <c r="A173" s="8">
        <f>IF(B173="","",ROW()-2)</f>
        <v/>
      </c>
      <c r="B173" s="9" t="n"/>
      <c r="C173" s="9" t="n"/>
      <c r="D173" s="12" t="n"/>
      <c r="E173" s="9" t="n"/>
      <c r="F173" s="9" t="n"/>
      <c r="G173" s="9" t="n"/>
      <c r="H173" s="12" t="n"/>
      <c r="I173" s="8">
        <f>IF(B173="","",IF(AND(F173&lt;&gt;"",SUMPRODUCT(--ISNUMBER(SEARCH(Preseleccionados!$A$2:$A$11,F173)))&gt;0),"YA ESTÁ",IF(AND(F173&lt;&gt;"",COUNTIF($F$3:F173,F173)&gt;1),"REPETIDO","")))</f>
        <v/>
      </c>
      <c r="J173" s="8">
        <f>IF(OR(B173="",I173&lt;&gt;""),"",IF(MOD(COUNTIFS($B$3:B173,"&lt;&gt;",$I$3:I173,""),2)=1,"Carlos","Joaquín"))</f>
        <v/>
      </c>
      <c r="K173" s="11" t="n"/>
      <c r="L173" s="11" t="n"/>
      <c r="M173" s="11" t="n"/>
      <c r="N173" s="11" t="n"/>
      <c r="O173" s="11" t="n"/>
      <c r="P173" s="8">
        <f>IF(J173="","",IF(K173="Sale","Descartado",IF(L173="Sale","Descartado",IF(OR(M173="Q3",M173="Q4",M173="No aparece"),"Descartado",IF(N173="Sale","Descartado",IF(O173="Sigue","APROBADO","En proceso"))))))</f>
        <v/>
      </c>
    </row>
    <row r="174" ht="15" customHeight="1">
      <c r="A174" s="8">
        <f>IF(B174="","",ROW()-2)</f>
        <v/>
      </c>
      <c r="B174" s="9" t="n"/>
      <c r="C174" s="9" t="n"/>
      <c r="D174" s="12" t="n"/>
      <c r="E174" s="9" t="n"/>
      <c r="F174" s="9" t="n"/>
      <c r="G174" s="9" t="n"/>
      <c r="H174" s="12" t="n"/>
      <c r="I174" s="8">
        <f>IF(B174="","",IF(AND(F174&lt;&gt;"",SUMPRODUCT(--ISNUMBER(SEARCH(Preseleccionados!$A$2:$A$11,F174)))&gt;0),"YA ESTÁ",IF(AND(F174&lt;&gt;"",COUNTIF($F$3:F174,F174)&gt;1),"REPETIDO","")))</f>
        <v/>
      </c>
      <c r="J174" s="8">
        <f>IF(OR(B174="",I174&lt;&gt;""),"",IF(MOD(COUNTIFS($B$3:B174,"&lt;&gt;",$I$3:I174,""),2)=1,"Carlos","Joaquín"))</f>
        <v/>
      </c>
      <c r="K174" s="11" t="n"/>
      <c r="L174" s="11" t="n"/>
      <c r="M174" s="11" t="n"/>
      <c r="N174" s="11" t="n"/>
      <c r="O174" s="11" t="n"/>
      <c r="P174" s="8">
        <f>IF(J174="","",IF(K174="Sale","Descartado",IF(L174="Sale","Descartado",IF(OR(M174="Q3",M174="Q4",M174="No aparece"),"Descartado",IF(N174="Sale","Descartado",IF(O174="Sigue","APROBADO","En proceso"))))))</f>
        <v/>
      </c>
    </row>
    <row r="175" ht="15" customHeight="1">
      <c r="A175" s="8">
        <f>IF(B175="","",ROW()-2)</f>
        <v/>
      </c>
      <c r="B175" s="9" t="n"/>
      <c r="C175" s="9" t="n"/>
      <c r="D175" s="12" t="n"/>
      <c r="E175" s="9" t="n"/>
      <c r="F175" s="9" t="n"/>
      <c r="G175" s="9" t="n"/>
      <c r="H175" s="12" t="n"/>
      <c r="I175" s="8">
        <f>IF(B175="","",IF(AND(F175&lt;&gt;"",SUMPRODUCT(--ISNUMBER(SEARCH(Preseleccionados!$A$2:$A$11,F175)))&gt;0),"YA ESTÁ",IF(AND(F175&lt;&gt;"",COUNTIF($F$3:F175,F175)&gt;1),"REPETIDO","")))</f>
        <v/>
      </c>
      <c r="J175" s="8">
        <f>IF(OR(B175="",I175&lt;&gt;""),"",IF(MOD(COUNTIFS($B$3:B175,"&lt;&gt;",$I$3:I175,""),2)=1,"Carlos","Joaquín"))</f>
        <v/>
      </c>
      <c r="K175" s="11" t="n"/>
      <c r="L175" s="11" t="n"/>
      <c r="M175" s="11" t="n"/>
      <c r="N175" s="11" t="n"/>
      <c r="O175" s="11" t="n"/>
      <c r="P175" s="8">
        <f>IF(J175="","",IF(K175="Sale","Descartado",IF(L175="Sale","Descartado",IF(OR(M175="Q3",M175="Q4",M175="No aparece"),"Descartado",IF(N175="Sale","Descartado",IF(O175="Sigue","APROBADO","En proceso"))))))</f>
        <v/>
      </c>
    </row>
    <row r="176" ht="15" customHeight="1">
      <c r="A176" s="8">
        <f>IF(B176="","",ROW()-2)</f>
        <v/>
      </c>
      <c r="B176" s="9" t="n"/>
      <c r="C176" s="9" t="n"/>
      <c r="D176" s="12" t="n"/>
      <c r="E176" s="9" t="n"/>
      <c r="F176" s="9" t="n"/>
      <c r="G176" s="9" t="n"/>
      <c r="H176" s="12" t="n"/>
      <c r="I176" s="8">
        <f>IF(B176="","",IF(AND(F176&lt;&gt;"",SUMPRODUCT(--ISNUMBER(SEARCH(Preseleccionados!$A$2:$A$11,F176)))&gt;0),"YA ESTÁ",IF(AND(F176&lt;&gt;"",COUNTIF($F$3:F176,F176)&gt;1),"REPETIDO","")))</f>
        <v/>
      </c>
      <c r="J176" s="8">
        <f>IF(OR(B176="",I176&lt;&gt;""),"",IF(MOD(COUNTIFS($B$3:B176,"&lt;&gt;",$I$3:I176,""),2)=1,"Carlos","Joaquín"))</f>
        <v/>
      </c>
      <c r="K176" s="11" t="n"/>
      <c r="L176" s="11" t="n"/>
      <c r="M176" s="11" t="n"/>
      <c r="N176" s="11" t="n"/>
      <c r="O176" s="11" t="n"/>
      <c r="P176" s="8">
        <f>IF(J176="","",IF(K176="Sale","Descartado",IF(L176="Sale","Descartado",IF(OR(M176="Q3",M176="Q4",M176="No aparece"),"Descartado",IF(N176="Sale","Descartado",IF(O176="Sigue","APROBADO","En proceso"))))))</f>
        <v/>
      </c>
    </row>
    <row r="177" ht="15" customHeight="1">
      <c r="A177" s="8">
        <f>IF(B177="","",ROW()-2)</f>
        <v/>
      </c>
      <c r="B177" s="9" t="n"/>
      <c r="C177" s="9" t="n"/>
      <c r="D177" s="12" t="n"/>
      <c r="E177" s="9" t="n"/>
      <c r="F177" s="9" t="n"/>
      <c r="G177" s="9" t="n"/>
      <c r="H177" s="12" t="n"/>
      <c r="I177" s="8">
        <f>IF(B177="","",IF(AND(F177&lt;&gt;"",SUMPRODUCT(--ISNUMBER(SEARCH(Preseleccionados!$A$2:$A$11,F177)))&gt;0),"YA ESTÁ",IF(AND(F177&lt;&gt;"",COUNTIF($F$3:F177,F177)&gt;1),"REPETIDO","")))</f>
        <v/>
      </c>
      <c r="J177" s="8">
        <f>IF(OR(B177="",I177&lt;&gt;""),"",IF(MOD(COUNTIFS($B$3:B177,"&lt;&gt;",$I$3:I177,""),2)=1,"Carlos","Joaquín"))</f>
        <v/>
      </c>
      <c r="K177" s="11" t="n"/>
      <c r="L177" s="11" t="n"/>
      <c r="M177" s="11" t="n"/>
      <c r="N177" s="11" t="n"/>
      <c r="O177" s="11" t="n"/>
      <c r="P177" s="8">
        <f>IF(J177="","",IF(K177="Sale","Descartado",IF(L177="Sale","Descartado",IF(OR(M177="Q3",M177="Q4",M177="No aparece"),"Descartado",IF(N177="Sale","Descartado",IF(O177="Sigue","APROBADO","En proceso"))))))</f>
        <v/>
      </c>
    </row>
    <row r="178" ht="15" customHeight="1">
      <c r="A178" s="8">
        <f>IF(B178="","",ROW()-2)</f>
        <v/>
      </c>
      <c r="B178" s="9" t="n"/>
      <c r="C178" s="9" t="n"/>
      <c r="D178" s="12" t="n"/>
      <c r="E178" s="9" t="n"/>
      <c r="F178" s="9" t="n"/>
      <c r="G178" s="9" t="n"/>
      <c r="H178" s="12" t="n"/>
      <c r="I178" s="8">
        <f>IF(B178="","",IF(AND(F178&lt;&gt;"",SUMPRODUCT(--ISNUMBER(SEARCH(Preseleccionados!$A$2:$A$11,F178)))&gt;0),"YA ESTÁ",IF(AND(F178&lt;&gt;"",COUNTIF($F$3:F178,F178)&gt;1),"REPETIDO","")))</f>
        <v/>
      </c>
      <c r="J178" s="8">
        <f>IF(OR(B178="",I178&lt;&gt;""),"",IF(MOD(COUNTIFS($B$3:B178,"&lt;&gt;",$I$3:I178,""),2)=1,"Carlos","Joaquín"))</f>
        <v/>
      </c>
      <c r="K178" s="11" t="n"/>
      <c r="L178" s="11" t="n"/>
      <c r="M178" s="11" t="n"/>
      <c r="N178" s="11" t="n"/>
      <c r="O178" s="11" t="n"/>
      <c r="P178" s="8">
        <f>IF(J178="","",IF(K178="Sale","Descartado",IF(L178="Sale","Descartado",IF(OR(M178="Q3",M178="Q4",M178="No aparece"),"Descartado",IF(N178="Sale","Descartado",IF(O178="Sigue","APROBADO","En proceso"))))))</f>
        <v/>
      </c>
    </row>
    <row r="179" ht="15" customHeight="1">
      <c r="A179" s="8">
        <f>IF(B179="","",ROW()-2)</f>
        <v/>
      </c>
      <c r="B179" s="9" t="n"/>
      <c r="C179" s="9" t="n"/>
      <c r="D179" s="12" t="n"/>
      <c r="E179" s="9" t="n"/>
      <c r="F179" s="9" t="n"/>
      <c r="G179" s="9" t="n"/>
      <c r="H179" s="12" t="n"/>
      <c r="I179" s="8">
        <f>IF(B179="","",IF(AND(F179&lt;&gt;"",SUMPRODUCT(--ISNUMBER(SEARCH(Preseleccionados!$A$2:$A$11,F179)))&gt;0),"YA ESTÁ",IF(AND(F179&lt;&gt;"",COUNTIF($F$3:F179,F179)&gt;1),"REPETIDO","")))</f>
        <v/>
      </c>
      <c r="J179" s="8">
        <f>IF(OR(B179="",I179&lt;&gt;""),"",IF(MOD(COUNTIFS($B$3:B179,"&lt;&gt;",$I$3:I179,""),2)=1,"Carlos","Joaquín"))</f>
        <v/>
      </c>
      <c r="K179" s="11" t="n"/>
      <c r="L179" s="11" t="n"/>
      <c r="M179" s="11" t="n"/>
      <c r="N179" s="11" t="n"/>
      <c r="O179" s="11" t="n"/>
      <c r="P179" s="8">
        <f>IF(J179="","",IF(K179="Sale","Descartado",IF(L179="Sale","Descartado",IF(OR(M179="Q3",M179="Q4",M179="No aparece"),"Descartado",IF(N179="Sale","Descartado",IF(O179="Sigue","APROBADO","En proceso"))))))</f>
        <v/>
      </c>
    </row>
    <row r="180" ht="15" customHeight="1">
      <c r="A180" s="8">
        <f>IF(B180="","",ROW()-2)</f>
        <v/>
      </c>
      <c r="B180" s="9" t="n"/>
      <c r="C180" s="9" t="n"/>
      <c r="D180" s="12" t="n"/>
      <c r="E180" s="9" t="n"/>
      <c r="F180" s="9" t="n"/>
      <c r="G180" s="9" t="n"/>
      <c r="H180" s="12" t="n"/>
      <c r="I180" s="8">
        <f>IF(B180="","",IF(AND(F180&lt;&gt;"",SUMPRODUCT(--ISNUMBER(SEARCH(Preseleccionados!$A$2:$A$11,F180)))&gt;0),"YA ESTÁ",IF(AND(F180&lt;&gt;"",COUNTIF($F$3:F180,F180)&gt;1),"REPETIDO","")))</f>
        <v/>
      </c>
      <c r="J180" s="8">
        <f>IF(OR(B180="",I180&lt;&gt;""),"",IF(MOD(COUNTIFS($B$3:B180,"&lt;&gt;",$I$3:I180,""),2)=1,"Carlos","Joaquín"))</f>
        <v/>
      </c>
      <c r="K180" s="11" t="n"/>
      <c r="L180" s="11" t="n"/>
      <c r="M180" s="11" t="n"/>
      <c r="N180" s="11" t="n"/>
      <c r="O180" s="11" t="n"/>
      <c r="P180" s="8">
        <f>IF(J180="","",IF(K180="Sale","Descartado",IF(L180="Sale","Descartado",IF(OR(M180="Q3",M180="Q4",M180="No aparece"),"Descartado",IF(N180="Sale","Descartado",IF(O180="Sigue","APROBADO","En proceso"))))))</f>
        <v/>
      </c>
    </row>
    <row r="181" ht="15" customHeight="1">
      <c r="A181" s="8">
        <f>IF(B181="","",ROW()-2)</f>
        <v/>
      </c>
      <c r="B181" s="9" t="n"/>
      <c r="C181" s="9" t="n"/>
      <c r="D181" s="12" t="n"/>
      <c r="E181" s="9" t="n"/>
      <c r="F181" s="9" t="n"/>
      <c r="G181" s="9" t="n"/>
      <c r="H181" s="12" t="n"/>
      <c r="I181" s="8">
        <f>IF(B181="","",IF(AND(F181&lt;&gt;"",SUMPRODUCT(--ISNUMBER(SEARCH(Preseleccionados!$A$2:$A$11,F181)))&gt;0),"YA ESTÁ",IF(AND(F181&lt;&gt;"",COUNTIF($F$3:F181,F181)&gt;1),"REPETIDO","")))</f>
        <v/>
      </c>
      <c r="J181" s="8">
        <f>IF(OR(B181="",I181&lt;&gt;""),"",IF(MOD(COUNTIFS($B$3:B181,"&lt;&gt;",$I$3:I181,""),2)=1,"Carlos","Joaquín"))</f>
        <v/>
      </c>
      <c r="K181" s="11" t="n"/>
      <c r="L181" s="11" t="n"/>
      <c r="M181" s="11" t="n"/>
      <c r="N181" s="11" t="n"/>
      <c r="O181" s="11" t="n"/>
      <c r="P181" s="8">
        <f>IF(J181="","",IF(K181="Sale","Descartado",IF(L181="Sale","Descartado",IF(OR(M181="Q3",M181="Q4",M181="No aparece"),"Descartado",IF(N181="Sale","Descartado",IF(O181="Sigue","APROBADO","En proceso"))))))</f>
        <v/>
      </c>
    </row>
    <row r="182" ht="15" customHeight="1">
      <c r="A182" s="8">
        <f>IF(B182="","",ROW()-2)</f>
        <v/>
      </c>
      <c r="B182" s="9" t="n"/>
      <c r="C182" s="9" t="n"/>
      <c r="D182" s="12" t="n"/>
      <c r="E182" s="9" t="n"/>
      <c r="F182" s="9" t="n"/>
      <c r="G182" s="9" t="n"/>
      <c r="H182" s="12" t="n"/>
      <c r="I182" s="8">
        <f>IF(B182="","",IF(AND(F182&lt;&gt;"",SUMPRODUCT(--ISNUMBER(SEARCH(Preseleccionados!$A$2:$A$11,F182)))&gt;0),"YA ESTÁ",IF(AND(F182&lt;&gt;"",COUNTIF($F$3:F182,F182)&gt;1),"REPETIDO","")))</f>
        <v/>
      </c>
      <c r="J182" s="8">
        <f>IF(OR(B182="",I182&lt;&gt;""),"",IF(MOD(COUNTIFS($B$3:B182,"&lt;&gt;",$I$3:I182,""),2)=1,"Carlos","Joaquín"))</f>
        <v/>
      </c>
      <c r="K182" s="11" t="n"/>
      <c r="L182" s="11" t="n"/>
      <c r="M182" s="11" t="n"/>
      <c r="N182" s="11" t="n"/>
      <c r="O182" s="11" t="n"/>
      <c r="P182" s="8">
        <f>IF(J182="","",IF(K182="Sale","Descartado",IF(L182="Sale","Descartado",IF(OR(M182="Q3",M182="Q4",M182="No aparece"),"Descartado",IF(N182="Sale","Descartado",IF(O182="Sigue","APROBADO","En proceso"))))))</f>
        <v/>
      </c>
    </row>
    <row r="183" ht="15" customHeight="1">
      <c r="A183" s="8">
        <f>IF(B183="","",ROW()-2)</f>
        <v/>
      </c>
      <c r="B183" s="9" t="n"/>
      <c r="C183" s="9" t="n"/>
      <c r="D183" s="12" t="n"/>
      <c r="E183" s="9" t="n"/>
      <c r="F183" s="9" t="n"/>
      <c r="G183" s="9" t="n"/>
      <c r="H183" s="12" t="n"/>
      <c r="I183" s="8">
        <f>IF(B183="","",IF(AND(F183&lt;&gt;"",SUMPRODUCT(--ISNUMBER(SEARCH(Preseleccionados!$A$2:$A$11,F183)))&gt;0),"YA ESTÁ",IF(AND(F183&lt;&gt;"",COUNTIF($F$3:F183,F183)&gt;1),"REPETIDO","")))</f>
        <v/>
      </c>
      <c r="J183" s="8">
        <f>IF(OR(B183="",I183&lt;&gt;""),"",IF(MOD(COUNTIFS($B$3:B183,"&lt;&gt;",$I$3:I183,""),2)=1,"Carlos","Joaquín"))</f>
        <v/>
      </c>
      <c r="K183" s="11" t="n"/>
      <c r="L183" s="11" t="n"/>
      <c r="M183" s="11" t="n"/>
      <c r="N183" s="11" t="n"/>
      <c r="O183" s="11" t="n"/>
      <c r="P183" s="8">
        <f>IF(J183="","",IF(K183="Sale","Descartado",IF(L183="Sale","Descartado",IF(OR(M183="Q3",M183="Q4",M183="No aparece"),"Descartado",IF(N183="Sale","Descartado",IF(O183="Sigue","APROBADO","En proceso"))))))</f>
        <v/>
      </c>
    </row>
    <row r="184" ht="15" customHeight="1">
      <c r="A184" s="8">
        <f>IF(B184="","",ROW()-2)</f>
        <v/>
      </c>
      <c r="B184" s="9" t="n"/>
      <c r="C184" s="9" t="n"/>
      <c r="D184" s="12" t="n"/>
      <c r="E184" s="9" t="n"/>
      <c r="F184" s="9" t="n"/>
      <c r="G184" s="9" t="n"/>
      <c r="H184" s="12" t="n"/>
      <c r="I184" s="8">
        <f>IF(B184="","",IF(AND(F184&lt;&gt;"",SUMPRODUCT(--ISNUMBER(SEARCH(Preseleccionados!$A$2:$A$11,F184)))&gt;0),"YA ESTÁ",IF(AND(F184&lt;&gt;"",COUNTIF($F$3:F184,F184)&gt;1),"REPETIDO","")))</f>
        <v/>
      </c>
      <c r="J184" s="8">
        <f>IF(OR(B184="",I184&lt;&gt;""),"",IF(MOD(COUNTIFS($B$3:B184,"&lt;&gt;",$I$3:I184,""),2)=1,"Carlos","Joaquín"))</f>
        <v/>
      </c>
      <c r="K184" s="11" t="n"/>
      <c r="L184" s="11" t="n"/>
      <c r="M184" s="11" t="n"/>
      <c r="N184" s="11" t="n"/>
      <c r="O184" s="11" t="n"/>
      <c r="P184" s="8">
        <f>IF(J184="","",IF(K184="Sale","Descartado",IF(L184="Sale","Descartado",IF(OR(M184="Q3",M184="Q4",M184="No aparece"),"Descartado",IF(N184="Sale","Descartado",IF(O184="Sigue","APROBADO","En proceso"))))))</f>
        <v/>
      </c>
    </row>
    <row r="185" ht="15" customHeight="1">
      <c r="A185" s="8">
        <f>IF(B185="","",ROW()-2)</f>
        <v/>
      </c>
      <c r="B185" s="9" t="n"/>
      <c r="C185" s="9" t="n"/>
      <c r="D185" s="12" t="n"/>
      <c r="E185" s="9" t="n"/>
      <c r="F185" s="9" t="n"/>
      <c r="G185" s="9" t="n"/>
      <c r="H185" s="12" t="n"/>
      <c r="I185" s="8">
        <f>IF(B185="","",IF(AND(F185&lt;&gt;"",SUMPRODUCT(--ISNUMBER(SEARCH(Preseleccionados!$A$2:$A$11,F185)))&gt;0),"YA ESTÁ",IF(AND(F185&lt;&gt;"",COUNTIF($F$3:F185,F185)&gt;1),"REPETIDO","")))</f>
        <v/>
      </c>
      <c r="J185" s="8">
        <f>IF(OR(B185="",I185&lt;&gt;""),"",IF(MOD(COUNTIFS($B$3:B185,"&lt;&gt;",$I$3:I185,""),2)=1,"Carlos","Joaquín"))</f>
        <v/>
      </c>
      <c r="K185" s="11" t="n"/>
      <c r="L185" s="11" t="n"/>
      <c r="M185" s="11" t="n"/>
      <c r="N185" s="11" t="n"/>
      <c r="O185" s="11" t="n"/>
      <c r="P185" s="8">
        <f>IF(J185="","",IF(K185="Sale","Descartado",IF(L185="Sale","Descartado",IF(OR(M185="Q3",M185="Q4",M185="No aparece"),"Descartado",IF(N185="Sale","Descartado",IF(O185="Sigue","APROBADO","En proceso"))))))</f>
        <v/>
      </c>
    </row>
    <row r="186" ht="15" customHeight="1">
      <c r="A186" s="8">
        <f>IF(B186="","",ROW()-2)</f>
        <v/>
      </c>
      <c r="B186" s="9" t="n"/>
      <c r="C186" s="9" t="n"/>
      <c r="D186" s="12" t="n"/>
      <c r="E186" s="9" t="n"/>
      <c r="F186" s="9" t="n"/>
      <c r="G186" s="9" t="n"/>
      <c r="H186" s="12" t="n"/>
      <c r="I186" s="8">
        <f>IF(B186="","",IF(AND(F186&lt;&gt;"",SUMPRODUCT(--ISNUMBER(SEARCH(Preseleccionados!$A$2:$A$11,F186)))&gt;0),"YA ESTÁ",IF(AND(F186&lt;&gt;"",COUNTIF($F$3:F186,F186)&gt;1),"REPETIDO","")))</f>
        <v/>
      </c>
      <c r="J186" s="8">
        <f>IF(OR(B186="",I186&lt;&gt;""),"",IF(MOD(COUNTIFS($B$3:B186,"&lt;&gt;",$I$3:I186,""),2)=1,"Carlos","Joaquín"))</f>
        <v/>
      </c>
      <c r="K186" s="11" t="n"/>
      <c r="L186" s="11" t="n"/>
      <c r="M186" s="11" t="n"/>
      <c r="N186" s="11" t="n"/>
      <c r="O186" s="11" t="n"/>
      <c r="P186" s="8">
        <f>IF(J186="","",IF(K186="Sale","Descartado",IF(L186="Sale","Descartado",IF(OR(M186="Q3",M186="Q4",M186="No aparece"),"Descartado",IF(N186="Sale","Descartado",IF(O186="Sigue","APROBADO","En proceso"))))))</f>
        <v/>
      </c>
    </row>
    <row r="187" ht="15" customHeight="1">
      <c r="A187" s="8">
        <f>IF(B187="","",ROW()-2)</f>
        <v/>
      </c>
      <c r="B187" s="9" t="n"/>
      <c r="C187" s="9" t="n"/>
      <c r="D187" s="12" t="n"/>
      <c r="E187" s="9" t="n"/>
      <c r="F187" s="9" t="n"/>
      <c r="G187" s="9" t="n"/>
      <c r="H187" s="12" t="n"/>
      <c r="I187" s="8">
        <f>IF(B187="","",IF(AND(F187&lt;&gt;"",SUMPRODUCT(--ISNUMBER(SEARCH(Preseleccionados!$A$2:$A$11,F187)))&gt;0),"YA ESTÁ",IF(AND(F187&lt;&gt;"",COUNTIF($F$3:F187,F187)&gt;1),"REPETIDO","")))</f>
        <v/>
      </c>
      <c r="J187" s="8">
        <f>IF(OR(B187="",I187&lt;&gt;""),"",IF(MOD(COUNTIFS($B$3:B187,"&lt;&gt;",$I$3:I187,""),2)=1,"Carlos","Joaquín"))</f>
        <v/>
      </c>
      <c r="K187" s="11" t="n"/>
      <c r="L187" s="11" t="n"/>
      <c r="M187" s="11" t="n"/>
      <c r="N187" s="11" t="n"/>
      <c r="O187" s="11" t="n"/>
      <c r="P187" s="8">
        <f>IF(J187="","",IF(K187="Sale","Descartado",IF(L187="Sale","Descartado",IF(OR(M187="Q3",M187="Q4",M187="No aparece"),"Descartado",IF(N187="Sale","Descartado",IF(O187="Sigue","APROBADO","En proceso"))))))</f>
        <v/>
      </c>
    </row>
    <row r="188" ht="15" customHeight="1">
      <c r="A188" s="8">
        <f>IF(B188="","",ROW()-2)</f>
        <v/>
      </c>
      <c r="B188" s="9" t="n"/>
      <c r="C188" s="9" t="n"/>
      <c r="D188" s="12" t="n"/>
      <c r="E188" s="9" t="n"/>
      <c r="F188" s="9" t="n"/>
      <c r="G188" s="9" t="n"/>
      <c r="H188" s="12" t="n"/>
      <c r="I188" s="8">
        <f>IF(B188="","",IF(AND(F188&lt;&gt;"",SUMPRODUCT(--ISNUMBER(SEARCH(Preseleccionados!$A$2:$A$11,F188)))&gt;0),"YA ESTÁ",IF(AND(F188&lt;&gt;"",COUNTIF($F$3:F188,F188)&gt;1),"REPETIDO","")))</f>
        <v/>
      </c>
      <c r="J188" s="8">
        <f>IF(OR(B188="",I188&lt;&gt;""),"",IF(MOD(COUNTIFS($B$3:B188,"&lt;&gt;",$I$3:I188,""),2)=1,"Carlos","Joaquín"))</f>
        <v/>
      </c>
      <c r="K188" s="11" t="n"/>
      <c r="L188" s="11" t="n"/>
      <c r="M188" s="11" t="n"/>
      <c r="N188" s="11" t="n"/>
      <c r="O188" s="11" t="n"/>
      <c r="P188" s="8">
        <f>IF(J188="","",IF(K188="Sale","Descartado",IF(L188="Sale","Descartado",IF(OR(M188="Q3",M188="Q4",M188="No aparece"),"Descartado",IF(N188="Sale","Descartado",IF(O188="Sigue","APROBADO","En proceso"))))))</f>
        <v/>
      </c>
    </row>
    <row r="189" ht="15" customHeight="1">
      <c r="A189" s="8">
        <f>IF(B189="","",ROW()-2)</f>
        <v/>
      </c>
      <c r="B189" s="9" t="n"/>
      <c r="C189" s="9" t="n"/>
      <c r="D189" s="12" t="n"/>
      <c r="E189" s="9" t="n"/>
      <c r="F189" s="9" t="n"/>
      <c r="G189" s="9" t="n"/>
      <c r="H189" s="12" t="n"/>
      <c r="I189" s="8">
        <f>IF(B189="","",IF(AND(F189&lt;&gt;"",SUMPRODUCT(--ISNUMBER(SEARCH(Preseleccionados!$A$2:$A$11,F189)))&gt;0),"YA ESTÁ",IF(AND(F189&lt;&gt;"",COUNTIF($F$3:F189,F189)&gt;1),"REPETIDO","")))</f>
        <v/>
      </c>
      <c r="J189" s="8">
        <f>IF(OR(B189="",I189&lt;&gt;""),"",IF(MOD(COUNTIFS($B$3:B189,"&lt;&gt;",$I$3:I189,""),2)=1,"Carlos","Joaquín"))</f>
        <v/>
      </c>
      <c r="K189" s="11" t="n"/>
      <c r="L189" s="11" t="n"/>
      <c r="M189" s="11" t="n"/>
      <c r="N189" s="11" t="n"/>
      <c r="O189" s="11" t="n"/>
      <c r="P189" s="8">
        <f>IF(J189="","",IF(K189="Sale","Descartado",IF(L189="Sale","Descartado",IF(OR(M189="Q3",M189="Q4",M189="No aparece"),"Descartado",IF(N189="Sale","Descartado",IF(O189="Sigue","APROBADO","En proceso"))))))</f>
        <v/>
      </c>
    </row>
    <row r="190" ht="15" customHeight="1">
      <c r="A190" s="8">
        <f>IF(B190="","",ROW()-2)</f>
        <v/>
      </c>
      <c r="B190" s="9" t="n"/>
      <c r="C190" s="9" t="n"/>
      <c r="D190" s="12" t="n"/>
      <c r="E190" s="9" t="n"/>
      <c r="F190" s="9" t="n"/>
      <c r="G190" s="9" t="n"/>
      <c r="H190" s="12" t="n"/>
      <c r="I190" s="8">
        <f>IF(B190="","",IF(AND(F190&lt;&gt;"",SUMPRODUCT(--ISNUMBER(SEARCH(Preseleccionados!$A$2:$A$11,F190)))&gt;0),"YA ESTÁ",IF(AND(F190&lt;&gt;"",COUNTIF($F$3:F190,F190)&gt;1),"REPETIDO","")))</f>
        <v/>
      </c>
      <c r="J190" s="8">
        <f>IF(OR(B190="",I190&lt;&gt;""),"",IF(MOD(COUNTIFS($B$3:B190,"&lt;&gt;",$I$3:I190,""),2)=1,"Carlos","Joaquín"))</f>
        <v/>
      </c>
      <c r="K190" s="11" t="n"/>
      <c r="L190" s="11" t="n"/>
      <c r="M190" s="11" t="n"/>
      <c r="N190" s="11" t="n"/>
      <c r="O190" s="11" t="n"/>
      <c r="P190" s="8">
        <f>IF(J190="","",IF(K190="Sale","Descartado",IF(L190="Sale","Descartado",IF(OR(M190="Q3",M190="Q4",M190="No aparece"),"Descartado",IF(N190="Sale","Descartado",IF(O190="Sigue","APROBADO","En proceso"))))))</f>
        <v/>
      </c>
    </row>
    <row r="191" ht="15" customHeight="1">
      <c r="A191" s="8">
        <f>IF(B191="","",ROW()-2)</f>
        <v/>
      </c>
      <c r="B191" s="9" t="n"/>
      <c r="C191" s="9" t="n"/>
      <c r="D191" s="12" t="n"/>
      <c r="E191" s="9" t="n"/>
      <c r="F191" s="9" t="n"/>
      <c r="G191" s="9" t="n"/>
      <c r="H191" s="12" t="n"/>
      <c r="I191" s="8">
        <f>IF(B191="","",IF(AND(F191&lt;&gt;"",SUMPRODUCT(--ISNUMBER(SEARCH(Preseleccionados!$A$2:$A$11,F191)))&gt;0),"YA ESTÁ",IF(AND(F191&lt;&gt;"",COUNTIF($F$3:F191,F191)&gt;1),"REPETIDO","")))</f>
        <v/>
      </c>
      <c r="J191" s="8">
        <f>IF(OR(B191="",I191&lt;&gt;""),"",IF(MOD(COUNTIFS($B$3:B191,"&lt;&gt;",$I$3:I191,""),2)=1,"Carlos","Joaquín"))</f>
        <v/>
      </c>
      <c r="K191" s="11" t="n"/>
      <c r="L191" s="11" t="n"/>
      <c r="M191" s="11" t="n"/>
      <c r="N191" s="11" t="n"/>
      <c r="O191" s="11" t="n"/>
      <c r="P191" s="8">
        <f>IF(J191="","",IF(K191="Sale","Descartado",IF(L191="Sale","Descartado",IF(OR(M191="Q3",M191="Q4",M191="No aparece"),"Descartado",IF(N191="Sale","Descartado",IF(O191="Sigue","APROBADO","En proceso"))))))</f>
        <v/>
      </c>
    </row>
    <row r="192" ht="15" customHeight="1">
      <c r="A192" s="8">
        <f>IF(B192="","",ROW()-2)</f>
        <v/>
      </c>
      <c r="B192" s="9" t="n"/>
      <c r="C192" s="9" t="n"/>
      <c r="D192" s="12" t="n"/>
      <c r="E192" s="9" t="n"/>
      <c r="F192" s="9" t="n"/>
      <c r="G192" s="9" t="n"/>
      <c r="H192" s="12" t="n"/>
      <c r="I192" s="8">
        <f>IF(B192="","",IF(AND(F192&lt;&gt;"",SUMPRODUCT(--ISNUMBER(SEARCH(Preseleccionados!$A$2:$A$11,F192)))&gt;0),"YA ESTÁ",IF(AND(F192&lt;&gt;"",COUNTIF($F$3:F192,F192)&gt;1),"REPETIDO","")))</f>
        <v/>
      </c>
      <c r="J192" s="8">
        <f>IF(OR(B192="",I192&lt;&gt;""),"",IF(MOD(COUNTIFS($B$3:B192,"&lt;&gt;",$I$3:I192,""),2)=1,"Carlos","Joaquín"))</f>
        <v/>
      </c>
      <c r="K192" s="11" t="n"/>
      <c r="L192" s="11" t="n"/>
      <c r="M192" s="11" t="n"/>
      <c r="N192" s="11" t="n"/>
      <c r="O192" s="11" t="n"/>
      <c r="P192" s="8">
        <f>IF(J192="","",IF(K192="Sale","Descartado",IF(L192="Sale","Descartado",IF(OR(M192="Q3",M192="Q4",M192="No aparece"),"Descartado",IF(N192="Sale","Descartado",IF(O192="Sigue","APROBADO","En proceso"))))))</f>
        <v/>
      </c>
    </row>
    <row r="193" ht="15" customHeight="1">
      <c r="A193" s="8">
        <f>IF(B193="","",ROW()-2)</f>
        <v/>
      </c>
      <c r="B193" s="9" t="n"/>
      <c r="C193" s="9" t="n"/>
      <c r="D193" s="12" t="n"/>
      <c r="E193" s="9" t="n"/>
      <c r="F193" s="9" t="n"/>
      <c r="G193" s="9" t="n"/>
      <c r="H193" s="12" t="n"/>
      <c r="I193" s="8">
        <f>IF(B193="","",IF(AND(F193&lt;&gt;"",SUMPRODUCT(--ISNUMBER(SEARCH(Preseleccionados!$A$2:$A$11,F193)))&gt;0),"YA ESTÁ",IF(AND(F193&lt;&gt;"",COUNTIF($F$3:F193,F193)&gt;1),"REPETIDO","")))</f>
        <v/>
      </c>
      <c r="J193" s="8">
        <f>IF(OR(B193="",I193&lt;&gt;""),"",IF(MOD(COUNTIFS($B$3:B193,"&lt;&gt;",$I$3:I193,""),2)=1,"Carlos","Joaquín"))</f>
        <v/>
      </c>
      <c r="K193" s="11" t="n"/>
      <c r="L193" s="11" t="n"/>
      <c r="M193" s="11" t="n"/>
      <c r="N193" s="11" t="n"/>
      <c r="O193" s="11" t="n"/>
      <c r="P193" s="8">
        <f>IF(J193="","",IF(K193="Sale","Descartado",IF(L193="Sale","Descartado",IF(OR(M193="Q3",M193="Q4",M193="No aparece"),"Descartado",IF(N193="Sale","Descartado",IF(O193="Sigue","APROBADO","En proceso"))))))</f>
        <v/>
      </c>
    </row>
    <row r="194" ht="15" customHeight="1">
      <c r="A194" s="8">
        <f>IF(B194="","",ROW()-2)</f>
        <v/>
      </c>
      <c r="B194" s="9" t="n"/>
      <c r="C194" s="9" t="n"/>
      <c r="D194" s="12" t="n"/>
      <c r="E194" s="9" t="n"/>
      <c r="F194" s="9" t="n"/>
      <c r="G194" s="9" t="n"/>
      <c r="H194" s="12" t="n"/>
      <c r="I194" s="8">
        <f>IF(B194="","",IF(AND(F194&lt;&gt;"",SUMPRODUCT(--ISNUMBER(SEARCH(Preseleccionados!$A$2:$A$11,F194)))&gt;0),"YA ESTÁ",IF(AND(F194&lt;&gt;"",COUNTIF($F$3:F194,F194)&gt;1),"REPETIDO","")))</f>
        <v/>
      </c>
      <c r="J194" s="8">
        <f>IF(OR(B194="",I194&lt;&gt;""),"",IF(MOD(COUNTIFS($B$3:B194,"&lt;&gt;",$I$3:I194,""),2)=1,"Carlos","Joaquín"))</f>
        <v/>
      </c>
      <c r="K194" s="11" t="n"/>
      <c r="L194" s="11" t="n"/>
      <c r="M194" s="11" t="n"/>
      <c r="N194" s="11" t="n"/>
      <c r="O194" s="11" t="n"/>
      <c r="P194" s="8">
        <f>IF(J194="","",IF(K194="Sale","Descartado",IF(L194="Sale","Descartado",IF(OR(M194="Q3",M194="Q4",M194="No aparece"),"Descartado",IF(N194="Sale","Descartado",IF(O194="Sigue","APROBADO","En proceso"))))))</f>
        <v/>
      </c>
    </row>
    <row r="195" ht="15" customHeight="1">
      <c r="A195" s="8">
        <f>IF(B195="","",ROW()-2)</f>
        <v/>
      </c>
      <c r="B195" s="9" t="n"/>
      <c r="C195" s="9" t="n"/>
      <c r="D195" s="12" t="n"/>
      <c r="E195" s="9" t="n"/>
      <c r="F195" s="9" t="n"/>
      <c r="G195" s="9" t="n"/>
      <c r="H195" s="12" t="n"/>
      <c r="I195" s="8">
        <f>IF(B195="","",IF(AND(F195&lt;&gt;"",SUMPRODUCT(--ISNUMBER(SEARCH(Preseleccionados!$A$2:$A$11,F195)))&gt;0),"YA ESTÁ",IF(AND(F195&lt;&gt;"",COUNTIF($F$3:F195,F195)&gt;1),"REPETIDO","")))</f>
        <v/>
      </c>
      <c r="J195" s="8">
        <f>IF(OR(B195="",I195&lt;&gt;""),"",IF(MOD(COUNTIFS($B$3:B195,"&lt;&gt;",$I$3:I195,""),2)=1,"Carlos","Joaquín"))</f>
        <v/>
      </c>
      <c r="K195" s="11" t="n"/>
      <c r="L195" s="11" t="n"/>
      <c r="M195" s="11" t="n"/>
      <c r="N195" s="11" t="n"/>
      <c r="O195" s="11" t="n"/>
      <c r="P195" s="8">
        <f>IF(J195="","",IF(K195="Sale","Descartado",IF(L195="Sale","Descartado",IF(OR(M195="Q3",M195="Q4",M195="No aparece"),"Descartado",IF(N195="Sale","Descartado",IF(O195="Sigue","APROBADO","En proceso"))))))</f>
        <v/>
      </c>
    </row>
    <row r="196" ht="15" customHeight="1">
      <c r="A196" s="8">
        <f>IF(B196="","",ROW()-2)</f>
        <v/>
      </c>
      <c r="B196" s="9" t="n"/>
      <c r="C196" s="9" t="n"/>
      <c r="D196" s="12" t="n"/>
      <c r="E196" s="9" t="n"/>
      <c r="F196" s="9" t="n"/>
      <c r="G196" s="9" t="n"/>
      <c r="H196" s="12" t="n"/>
      <c r="I196" s="8">
        <f>IF(B196="","",IF(AND(F196&lt;&gt;"",SUMPRODUCT(--ISNUMBER(SEARCH(Preseleccionados!$A$2:$A$11,F196)))&gt;0),"YA ESTÁ",IF(AND(F196&lt;&gt;"",COUNTIF($F$3:F196,F196)&gt;1),"REPETIDO","")))</f>
        <v/>
      </c>
      <c r="J196" s="8">
        <f>IF(OR(B196="",I196&lt;&gt;""),"",IF(MOD(COUNTIFS($B$3:B196,"&lt;&gt;",$I$3:I196,""),2)=1,"Carlos","Joaquín"))</f>
        <v/>
      </c>
      <c r="K196" s="11" t="n"/>
      <c r="L196" s="11" t="n"/>
      <c r="M196" s="11" t="n"/>
      <c r="N196" s="11" t="n"/>
      <c r="O196" s="11" t="n"/>
      <c r="P196" s="8">
        <f>IF(J196="","",IF(K196="Sale","Descartado",IF(L196="Sale","Descartado",IF(OR(M196="Q3",M196="Q4",M196="No aparece"),"Descartado",IF(N196="Sale","Descartado",IF(O196="Sigue","APROBADO","En proceso"))))))</f>
        <v/>
      </c>
    </row>
    <row r="197" ht="15" customHeight="1">
      <c r="A197" s="8">
        <f>IF(B197="","",ROW()-2)</f>
        <v/>
      </c>
      <c r="B197" s="9" t="n"/>
      <c r="C197" s="9" t="n"/>
      <c r="D197" s="12" t="n"/>
      <c r="E197" s="9" t="n"/>
      <c r="F197" s="9" t="n"/>
      <c r="G197" s="9" t="n"/>
      <c r="H197" s="12" t="n"/>
      <c r="I197" s="8">
        <f>IF(B197="","",IF(AND(F197&lt;&gt;"",SUMPRODUCT(--ISNUMBER(SEARCH(Preseleccionados!$A$2:$A$11,F197)))&gt;0),"YA ESTÁ",IF(AND(F197&lt;&gt;"",COUNTIF($F$3:F197,F197)&gt;1),"REPETIDO","")))</f>
        <v/>
      </c>
      <c r="J197" s="8">
        <f>IF(OR(B197="",I197&lt;&gt;""),"",IF(MOD(COUNTIFS($B$3:B197,"&lt;&gt;",$I$3:I197,""),2)=1,"Carlos","Joaquín"))</f>
        <v/>
      </c>
      <c r="K197" s="11" t="n"/>
      <c r="L197" s="11" t="n"/>
      <c r="M197" s="11" t="n"/>
      <c r="N197" s="11" t="n"/>
      <c r="O197" s="11" t="n"/>
      <c r="P197" s="8">
        <f>IF(J197="","",IF(K197="Sale","Descartado",IF(L197="Sale","Descartado",IF(OR(M197="Q3",M197="Q4",M197="No aparece"),"Descartado",IF(N197="Sale","Descartado",IF(O197="Sigue","APROBADO","En proceso"))))))</f>
        <v/>
      </c>
    </row>
    <row r="198" ht="15" customHeight="1">
      <c r="A198" s="8">
        <f>IF(B198="","",ROW()-2)</f>
        <v/>
      </c>
      <c r="B198" s="9" t="n"/>
      <c r="C198" s="9" t="n"/>
      <c r="D198" s="12" t="n"/>
      <c r="E198" s="9" t="n"/>
      <c r="F198" s="9" t="n"/>
      <c r="G198" s="9" t="n"/>
      <c r="H198" s="12" t="n"/>
      <c r="I198" s="8">
        <f>IF(B198="","",IF(AND(F198&lt;&gt;"",SUMPRODUCT(--ISNUMBER(SEARCH(Preseleccionados!$A$2:$A$11,F198)))&gt;0),"YA ESTÁ",IF(AND(F198&lt;&gt;"",COUNTIF($F$3:F198,F198)&gt;1),"REPETIDO","")))</f>
        <v/>
      </c>
      <c r="J198" s="8">
        <f>IF(OR(B198="",I198&lt;&gt;""),"",IF(MOD(COUNTIFS($B$3:B198,"&lt;&gt;",$I$3:I198,""),2)=1,"Carlos","Joaquín"))</f>
        <v/>
      </c>
      <c r="K198" s="11" t="n"/>
      <c r="L198" s="11" t="n"/>
      <c r="M198" s="11" t="n"/>
      <c r="N198" s="11" t="n"/>
      <c r="O198" s="11" t="n"/>
      <c r="P198" s="8">
        <f>IF(J198="","",IF(K198="Sale","Descartado",IF(L198="Sale","Descartado",IF(OR(M198="Q3",M198="Q4",M198="No aparece"),"Descartado",IF(N198="Sale","Descartado",IF(O198="Sigue","APROBADO","En proceso"))))))</f>
        <v/>
      </c>
    </row>
    <row r="199" ht="15" customHeight="1">
      <c r="A199" s="8">
        <f>IF(B199="","",ROW()-2)</f>
        <v/>
      </c>
      <c r="B199" s="9" t="n"/>
      <c r="C199" s="9" t="n"/>
      <c r="D199" s="12" t="n"/>
      <c r="E199" s="9" t="n"/>
      <c r="F199" s="9" t="n"/>
      <c r="G199" s="9" t="n"/>
      <c r="H199" s="12" t="n"/>
      <c r="I199" s="8">
        <f>IF(B199="","",IF(AND(F199&lt;&gt;"",SUMPRODUCT(--ISNUMBER(SEARCH(Preseleccionados!$A$2:$A$11,F199)))&gt;0),"YA ESTÁ",IF(AND(F199&lt;&gt;"",COUNTIF($F$3:F199,F199)&gt;1),"REPETIDO","")))</f>
        <v/>
      </c>
      <c r="J199" s="8">
        <f>IF(OR(B199="",I199&lt;&gt;""),"",IF(MOD(COUNTIFS($B$3:B199,"&lt;&gt;",$I$3:I199,""),2)=1,"Carlos","Joaquín"))</f>
        <v/>
      </c>
      <c r="K199" s="11" t="n"/>
      <c r="L199" s="11" t="n"/>
      <c r="M199" s="11" t="n"/>
      <c r="N199" s="11" t="n"/>
      <c r="O199" s="11" t="n"/>
      <c r="P199" s="8">
        <f>IF(J199="","",IF(K199="Sale","Descartado",IF(L199="Sale","Descartado",IF(OR(M199="Q3",M199="Q4",M199="No aparece"),"Descartado",IF(N199="Sale","Descartado",IF(O199="Sigue","APROBADO","En proceso"))))))</f>
        <v/>
      </c>
    </row>
    <row r="200" ht="15" customHeight="1">
      <c r="A200" s="8">
        <f>IF(B200="","",ROW()-2)</f>
        <v/>
      </c>
      <c r="B200" s="9" t="n"/>
      <c r="C200" s="9" t="n"/>
      <c r="D200" s="12" t="n"/>
      <c r="E200" s="9" t="n"/>
      <c r="F200" s="9" t="n"/>
      <c r="G200" s="9" t="n"/>
      <c r="H200" s="12" t="n"/>
      <c r="I200" s="8">
        <f>IF(B200="","",IF(AND(F200&lt;&gt;"",SUMPRODUCT(--ISNUMBER(SEARCH(Preseleccionados!$A$2:$A$11,F200)))&gt;0),"YA ESTÁ",IF(AND(F200&lt;&gt;"",COUNTIF($F$3:F200,F200)&gt;1),"REPETIDO","")))</f>
        <v/>
      </c>
      <c r="J200" s="8">
        <f>IF(OR(B200="",I200&lt;&gt;""),"",IF(MOD(COUNTIFS($B$3:B200,"&lt;&gt;",$I$3:I200,""),2)=1,"Carlos","Joaquín"))</f>
        <v/>
      </c>
      <c r="K200" s="11" t="n"/>
      <c r="L200" s="11" t="n"/>
      <c r="M200" s="11" t="n"/>
      <c r="N200" s="11" t="n"/>
      <c r="O200" s="11" t="n"/>
      <c r="P200" s="8">
        <f>IF(J200="","",IF(K200="Sale","Descartado",IF(L200="Sale","Descartado",IF(OR(M200="Q3",M200="Q4",M200="No aparece"),"Descartado",IF(N200="Sale","Descartado",IF(O200="Sigue","APROBADO","En proceso"))))))</f>
        <v/>
      </c>
    </row>
    <row r="201" ht="15" customHeight="1">
      <c r="A201" s="8">
        <f>IF(B201="","",ROW()-2)</f>
        <v/>
      </c>
      <c r="B201" s="9" t="n"/>
      <c r="C201" s="9" t="n"/>
      <c r="D201" s="12" t="n"/>
      <c r="E201" s="9" t="n"/>
      <c r="F201" s="9" t="n"/>
      <c r="G201" s="9" t="n"/>
      <c r="H201" s="12" t="n"/>
      <c r="I201" s="8">
        <f>IF(B201="","",IF(AND(F201&lt;&gt;"",SUMPRODUCT(--ISNUMBER(SEARCH(Preseleccionados!$A$2:$A$11,F201)))&gt;0),"YA ESTÁ",IF(AND(F201&lt;&gt;"",COUNTIF($F$3:F201,F201)&gt;1),"REPETIDO","")))</f>
        <v/>
      </c>
      <c r="J201" s="8">
        <f>IF(OR(B201="",I201&lt;&gt;""),"",IF(MOD(COUNTIFS($B$3:B201,"&lt;&gt;",$I$3:I201,""),2)=1,"Carlos","Joaquín"))</f>
        <v/>
      </c>
      <c r="K201" s="11" t="n"/>
      <c r="L201" s="11" t="n"/>
      <c r="M201" s="11" t="n"/>
      <c r="N201" s="11" t="n"/>
      <c r="O201" s="11" t="n"/>
      <c r="P201" s="8">
        <f>IF(J201="","",IF(K201="Sale","Descartado",IF(L201="Sale","Descartado",IF(OR(M201="Q3",M201="Q4",M201="No aparece"),"Descartado",IF(N201="Sale","Descartado",IF(O201="Sigue","APROBADO","En proceso"))))))</f>
        <v/>
      </c>
    </row>
    <row r="202" ht="15" customHeight="1">
      <c r="A202" s="8">
        <f>IF(B202="","",ROW()-2)</f>
        <v/>
      </c>
      <c r="B202" s="9" t="n"/>
      <c r="C202" s="9" t="n"/>
      <c r="D202" s="12" t="n"/>
      <c r="E202" s="9" t="n"/>
      <c r="F202" s="9" t="n"/>
      <c r="G202" s="9" t="n"/>
      <c r="H202" s="12" t="n"/>
      <c r="I202" s="8">
        <f>IF(B202="","",IF(AND(F202&lt;&gt;"",SUMPRODUCT(--ISNUMBER(SEARCH(Preseleccionados!$A$2:$A$11,F202)))&gt;0),"YA ESTÁ",IF(AND(F202&lt;&gt;"",COUNTIF($F$3:F202,F202)&gt;1),"REPETIDO","")))</f>
        <v/>
      </c>
      <c r="J202" s="8">
        <f>IF(OR(B202="",I202&lt;&gt;""),"",IF(MOD(COUNTIFS($B$3:B202,"&lt;&gt;",$I$3:I202,""),2)=1,"Carlos","Joaquín"))</f>
        <v/>
      </c>
      <c r="K202" s="11" t="n"/>
      <c r="L202" s="11" t="n"/>
      <c r="M202" s="11" t="n"/>
      <c r="N202" s="11" t="n"/>
      <c r="O202" s="11" t="n"/>
      <c r="P202" s="8">
        <f>IF(J202="","",IF(K202="Sale","Descartado",IF(L202="Sale","Descartado",IF(OR(M202="Q3",M202="Q4",M202="No aparece"),"Descartado",IF(N202="Sale","Descartado",IF(O202="Sigue","APROBADO","En proceso"))))))</f>
        <v/>
      </c>
    </row>
    <row r="203" ht="15" customHeight="1">
      <c r="A203" s="8">
        <f>IF(B203="","",ROW()-2)</f>
        <v/>
      </c>
      <c r="B203" s="9" t="n"/>
      <c r="C203" s="9" t="n"/>
      <c r="D203" s="12" t="n"/>
      <c r="E203" s="9" t="n"/>
      <c r="F203" s="9" t="n"/>
      <c r="G203" s="9" t="n"/>
      <c r="H203" s="12" t="n"/>
      <c r="I203" s="8">
        <f>IF(B203="","",IF(AND(F203&lt;&gt;"",SUMPRODUCT(--ISNUMBER(SEARCH(Preseleccionados!$A$2:$A$11,F203)))&gt;0),"YA ESTÁ",IF(AND(F203&lt;&gt;"",COUNTIF($F$3:F203,F203)&gt;1),"REPETIDO","")))</f>
        <v/>
      </c>
      <c r="J203" s="8">
        <f>IF(OR(B203="",I203&lt;&gt;""),"",IF(MOD(COUNTIFS($B$3:B203,"&lt;&gt;",$I$3:I203,""),2)=1,"Carlos","Joaquín"))</f>
        <v/>
      </c>
      <c r="K203" s="11" t="n"/>
      <c r="L203" s="11" t="n"/>
      <c r="M203" s="11" t="n"/>
      <c r="N203" s="11" t="n"/>
      <c r="O203" s="11" t="n"/>
      <c r="P203" s="8">
        <f>IF(J203="","",IF(K203="Sale","Descartado",IF(L203="Sale","Descartado",IF(OR(M203="Q3",M203="Q4",M203="No aparece"),"Descartado",IF(N203="Sale","Descartado",IF(O203="Sigue","APROBADO","En proceso"))))))</f>
        <v/>
      </c>
    </row>
    <row r="204" ht="15" customHeight="1">
      <c r="A204" s="8">
        <f>IF(B204="","",ROW()-2)</f>
        <v/>
      </c>
      <c r="B204" s="9" t="n"/>
      <c r="C204" s="9" t="n"/>
      <c r="D204" s="12" t="n"/>
      <c r="E204" s="9" t="n"/>
      <c r="F204" s="9" t="n"/>
      <c r="G204" s="9" t="n"/>
      <c r="H204" s="12" t="n"/>
      <c r="I204" s="8">
        <f>IF(B204="","",IF(AND(F204&lt;&gt;"",SUMPRODUCT(--ISNUMBER(SEARCH(Preseleccionados!$A$2:$A$11,F204)))&gt;0),"YA ESTÁ",IF(AND(F204&lt;&gt;"",COUNTIF($F$3:F204,F204)&gt;1),"REPETIDO","")))</f>
        <v/>
      </c>
      <c r="J204" s="8">
        <f>IF(OR(B204="",I204&lt;&gt;""),"",IF(MOD(COUNTIFS($B$3:B204,"&lt;&gt;",$I$3:I204,""),2)=1,"Carlos","Joaquín"))</f>
        <v/>
      </c>
      <c r="K204" s="11" t="n"/>
      <c r="L204" s="11" t="n"/>
      <c r="M204" s="11" t="n"/>
      <c r="N204" s="11" t="n"/>
      <c r="O204" s="11" t="n"/>
      <c r="P204" s="8">
        <f>IF(J204="","",IF(K204="Sale","Descartado",IF(L204="Sale","Descartado",IF(OR(M204="Q3",M204="Q4",M204="No aparece"),"Descartado",IF(N204="Sale","Descartado",IF(O204="Sigue","APROBADO","En proceso"))))))</f>
        <v/>
      </c>
    </row>
    <row r="205" ht="15" customHeight="1">
      <c r="A205" s="8">
        <f>IF(B205="","",ROW()-2)</f>
        <v/>
      </c>
      <c r="B205" s="9" t="n"/>
      <c r="C205" s="9" t="n"/>
      <c r="D205" s="12" t="n"/>
      <c r="E205" s="9" t="n"/>
      <c r="F205" s="9" t="n"/>
      <c r="G205" s="9" t="n"/>
      <c r="H205" s="12" t="n"/>
      <c r="I205" s="8">
        <f>IF(B205="","",IF(AND(F205&lt;&gt;"",SUMPRODUCT(--ISNUMBER(SEARCH(Preseleccionados!$A$2:$A$11,F205)))&gt;0),"YA ESTÁ",IF(AND(F205&lt;&gt;"",COUNTIF($F$3:F205,F205)&gt;1),"REPETIDO","")))</f>
        <v/>
      </c>
      <c r="J205" s="8">
        <f>IF(OR(B205="",I205&lt;&gt;""),"",IF(MOD(COUNTIFS($B$3:B205,"&lt;&gt;",$I$3:I205,""),2)=1,"Carlos","Joaquín"))</f>
        <v/>
      </c>
      <c r="K205" s="11" t="n"/>
      <c r="L205" s="11" t="n"/>
      <c r="M205" s="11" t="n"/>
      <c r="N205" s="11" t="n"/>
      <c r="O205" s="11" t="n"/>
      <c r="P205" s="8">
        <f>IF(J205="","",IF(K205="Sale","Descartado",IF(L205="Sale","Descartado",IF(OR(M205="Q3",M205="Q4",M205="No aparece"),"Descartado",IF(N205="Sale","Descartado",IF(O205="Sigue","APROBADO","En proceso"))))))</f>
        <v/>
      </c>
    </row>
    <row r="206" ht="15" customHeight="1">
      <c r="A206" s="8">
        <f>IF(B206="","",ROW()-2)</f>
        <v/>
      </c>
      <c r="B206" s="9" t="n"/>
      <c r="C206" s="9" t="n"/>
      <c r="D206" s="12" t="n"/>
      <c r="E206" s="9" t="n"/>
      <c r="F206" s="9" t="n"/>
      <c r="G206" s="9" t="n"/>
      <c r="H206" s="12" t="n"/>
      <c r="I206" s="8">
        <f>IF(B206="","",IF(AND(F206&lt;&gt;"",SUMPRODUCT(--ISNUMBER(SEARCH(Preseleccionados!$A$2:$A$11,F206)))&gt;0),"YA ESTÁ",IF(AND(F206&lt;&gt;"",COUNTIF($F$3:F206,F206)&gt;1),"REPETIDO","")))</f>
        <v/>
      </c>
      <c r="J206" s="8">
        <f>IF(OR(B206="",I206&lt;&gt;""),"",IF(MOD(COUNTIFS($B$3:B206,"&lt;&gt;",$I$3:I206,""),2)=1,"Carlos","Joaquín"))</f>
        <v/>
      </c>
      <c r="K206" s="11" t="n"/>
      <c r="L206" s="11" t="n"/>
      <c r="M206" s="11" t="n"/>
      <c r="N206" s="11" t="n"/>
      <c r="O206" s="11" t="n"/>
      <c r="P206" s="8">
        <f>IF(J206="","",IF(K206="Sale","Descartado",IF(L206="Sale","Descartado",IF(OR(M206="Q3",M206="Q4",M206="No aparece"),"Descartado",IF(N206="Sale","Descartado",IF(O206="Sigue","APROBADO","En proceso"))))))</f>
        <v/>
      </c>
    </row>
    <row r="207" ht="15" customHeight="1">
      <c r="A207" s="8">
        <f>IF(B207="","",ROW()-2)</f>
        <v/>
      </c>
      <c r="B207" s="9" t="n"/>
      <c r="C207" s="9" t="n"/>
      <c r="D207" s="12" t="n"/>
      <c r="E207" s="9" t="n"/>
      <c r="F207" s="9" t="n"/>
      <c r="G207" s="9" t="n"/>
      <c r="H207" s="12" t="n"/>
      <c r="I207" s="8">
        <f>IF(B207="","",IF(AND(F207&lt;&gt;"",SUMPRODUCT(--ISNUMBER(SEARCH(Preseleccionados!$A$2:$A$11,F207)))&gt;0),"YA ESTÁ",IF(AND(F207&lt;&gt;"",COUNTIF($F$3:F207,F207)&gt;1),"REPETIDO","")))</f>
        <v/>
      </c>
      <c r="J207" s="8">
        <f>IF(OR(B207="",I207&lt;&gt;""),"",IF(MOD(COUNTIFS($B$3:B207,"&lt;&gt;",$I$3:I207,""),2)=1,"Carlos","Joaquín"))</f>
        <v/>
      </c>
      <c r="K207" s="11" t="n"/>
      <c r="L207" s="11" t="n"/>
      <c r="M207" s="11" t="n"/>
      <c r="N207" s="11" t="n"/>
      <c r="O207" s="11" t="n"/>
      <c r="P207" s="8">
        <f>IF(J207="","",IF(K207="Sale","Descartado",IF(L207="Sale","Descartado",IF(OR(M207="Q3",M207="Q4",M207="No aparece"),"Descartado",IF(N207="Sale","Descartado",IF(O207="Sigue","APROBADO","En proceso"))))))</f>
        <v/>
      </c>
    </row>
    <row r="208" ht="15" customHeight="1">
      <c r="A208" s="8">
        <f>IF(B208="","",ROW()-2)</f>
        <v/>
      </c>
      <c r="B208" s="9" t="n"/>
      <c r="C208" s="9" t="n"/>
      <c r="D208" s="12" t="n"/>
      <c r="E208" s="9" t="n"/>
      <c r="F208" s="9" t="n"/>
      <c r="G208" s="9" t="n"/>
      <c r="H208" s="12" t="n"/>
      <c r="I208" s="8">
        <f>IF(B208="","",IF(AND(F208&lt;&gt;"",SUMPRODUCT(--ISNUMBER(SEARCH(Preseleccionados!$A$2:$A$11,F208)))&gt;0),"YA ESTÁ",IF(AND(F208&lt;&gt;"",COUNTIF($F$3:F208,F208)&gt;1),"REPETIDO","")))</f>
        <v/>
      </c>
      <c r="J208" s="8">
        <f>IF(OR(B208="",I208&lt;&gt;""),"",IF(MOD(COUNTIFS($B$3:B208,"&lt;&gt;",$I$3:I208,""),2)=1,"Carlos","Joaquín"))</f>
        <v/>
      </c>
      <c r="K208" s="11" t="n"/>
      <c r="L208" s="11" t="n"/>
      <c r="M208" s="11" t="n"/>
      <c r="N208" s="11" t="n"/>
      <c r="O208" s="11" t="n"/>
      <c r="P208" s="8">
        <f>IF(J208="","",IF(K208="Sale","Descartado",IF(L208="Sale","Descartado",IF(OR(M208="Q3",M208="Q4",M208="No aparece"),"Descartado",IF(N208="Sale","Descartado",IF(O208="Sigue","APROBADO","En proceso"))))))</f>
        <v/>
      </c>
    </row>
    <row r="209" ht="15" customHeight="1">
      <c r="A209" s="8">
        <f>IF(B209="","",ROW()-2)</f>
        <v/>
      </c>
      <c r="B209" s="9" t="n"/>
      <c r="C209" s="9" t="n"/>
      <c r="D209" s="12" t="n"/>
      <c r="E209" s="9" t="n"/>
      <c r="F209" s="9" t="n"/>
      <c r="G209" s="9" t="n"/>
      <c r="H209" s="12" t="n"/>
      <c r="I209" s="8">
        <f>IF(B209="","",IF(AND(F209&lt;&gt;"",SUMPRODUCT(--ISNUMBER(SEARCH(Preseleccionados!$A$2:$A$11,F209)))&gt;0),"YA ESTÁ",IF(AND(F209&lt;&gt;"",COUNTIF($F$3:F209,F209)&gt;1),"REPETIDO","")))</f>
        <v/>
      </c>
      <c r="J209" s="8">
        <f>IF(OR(B209="",I209&lt;&gt;""),"",IF(MOD(COUNTIFS($B$3:B209,"&lt;&gt;",$I$3:I209,""),2)=1,"Carlos","Joaquín"))</f>
        <v/>
      </c>
      <c r="K209" s="11" t="n"/>
      <c r="L209" s="11" t="n"/>
      <c r="M209" s="11" t="n"/>
      <c r="N209" s="11" t="n"/>
      <c r="O209" s="11" t="n"/>
      <c r="P209" s="8">
        <f>IF(J209="","",IF(K209="Sale","Descartado",IF(L209="Sale","Descartado",IF(OR(M209="Q3",M209="Q4",M209="No aparece"),"Descartado",IF(N209="Sale","Descartado",IF(O209="Sigue","APROBADO","En proceso"))))))</f>
        <v/>
      </c>
    </row>
    <row r="210" ht="15" customHeight="1">
      <c r="A210" s="8">
        <f>IF(B210="","",ROW()-2)</f>
        <v/>
      </c>
      <c r="B210" s="9" t="n"/>
      <c r="C210" s="9" t="n"/>
      <c r="D210" s="12" t="n"/>
      <c r="E210" s="9" t="n"/>
      <c r="F210" s="9" t="n"/>
      <c r="G210" s="9" t="n"/>
      <c r="H210" s="12" t="n"/>
      <c r="I210" s="8">
        <f>IF(B210="","",IF(AND(F210&lt;&gt;"",SUMPRODUCT(--ISNUMBER(SEARCH(Preseleccionados!$A$2:$A$11,F210)))&gt;0),"YA ESTÁ",IF(AND(F210&lt;&gt;"",COUNTIF($F$3:F210,F210)&gt;1),"REPETIDO","")))</f>
        <v/>
      </c>
      <c r="J210" s="8">
        <f>IF(OR(B210="",I210&lt;&gt;""),"",IF(MOD(COUNTIFS($B$3:B210,"&lt;&gt;",$I$3:I210,""),2)=1,"Carlos","Joaquín"))</f>
        <v/>
      </c>
      <c r="K210" s="11" t="n"/>
      <c r="L210" s="11" t="n"/>
      <c r="M210" s="11" t="n"/>
      <c r="N210" s="11" t="n"/>
      <c r="O210" s="11" t="n"/>
      <c r="P210" s="8">
        <f>IF(J210="","",IF(K210="Sale","Descartado",IF(L210="Sale","Descartado",IF(OR(M210="Q3",M210="Q4",M210="No aparece"),"Descartado",IF(N210="Sale","Descartado",IF(O210="Sigue","APROBADO","En proceso"))))))</f>
        <v/>
      </c>
    </row>
    <row r="211" ht="15" customHeight="1">
      <c r="A211" s="8">
        <f>IF(B211="","",ROW()-2)</f>
        <v/>
      </c>
      <c r="B211" s="9" t="n"/>
      <c r="C211" s="9" t="n"/>
      <c r="D211" s="12" t="n"/>
      <c r="E211" s="9" t="n"/>
      <c r="F211" s="9" t="n"/>
      <c r="G211" s="9" t="n"/>
      <c r="H211" s="12" t="n"/>
      <c r="I211" s="8">
        <f>IF(B211="","",IF(AND(F211&lt;&gt;"",SUMPRODUCT(--ISNUMBER(SEARCH(Preseleccionados!$A$2:$A$11,F211)))&gt;0),"YA ESTÁ",IF(AND(F211&lt;&gt;"",COUNTIF($F$3:F211,F211)&gt;1),"REPETIDO","")))</f>
        <v/>
      </c>
      <c r="J211" s="8">
        <f>IF(OR(B211="",I211&lt;&gt;""),"",IF(MOD(COUNTIFS($B$3:B211,"&lt;&gt;",$I$3:I211,""),2)=1,"Carlos","Joaquín"))</f>
        <v/>
      </c>
      <c r="K211" s="11" t="n"/>
      <c r="L211" s="11" t="n"/>
      <c r="M211" s="11" t="n"/>
      <c r="N211" s="11" t="n"/>
      <c r="O211" s="11" t="n"/>
      <c r="P211" s="8">
        <f>IF(J211="","",IF(K211="Sale","Descartado",IF(L211="Sale","Descartado",IF(OR(M211="Q3",M211="Q4",M211="No aparece"),"Descartado",IF(N211="Sale","Descartado",IF(O211="Sigue","APROBADO","En proceso"))))))</f>
        <v/>
      </c>
    </row>
    <row r="212" ht="15" customHeight="1">
      <c r="A212" s="8">
        <f>IF(B212="","",ROW()-2)</f>
        <v/>
      </c>
      <c r="B212" s="9" t="n"/>
      <c r="C212" s="9" t="n"/>
      <c r="D212" s="12" t="n"/>
      <c r="E212" s="9" t="n"/>
      <c r="F212" s="9" t="n"/>
      <c r="G212" s="9" t="n"/>
      <c r="H212" s="12" t="n"/>
      <c r="I212" s="8">
        <f>IF(B212="","",IF(AND(F212&lt;&gt;"",SUMPRODUCT(--ISNUMBER(SEARCH(Preseleccionados!$A$2:$A$11,F212)))&gt;0),"YA ESTÁ",IF(AND(F212&lt;&gt;"",COUNTIF($F$3:F212,F212)&gt;1),"REPETIDO","")))</f>
        <v/>
      </c>
      <c r="J212" s="8">
        <f>IF(OR(B212="",I212&lt;&gt;""),"",IF(MOD(COUNTIFS($B$3:B212,"&lt;&gt;",$I$3:I212,""),2)=1,"Carlos","Joaquín"))</f>
        <v/>
      </c>
      <c r="K212" s="11" t="n"/>
      <c r="L212" s="11" t="n"/>
      <c r="M212" s="11" t="n"/>
      <c r="N212" s="11" t="n"/>
      <c r="O212" s="11" t="n"/>
      <c r="P212" s="8">
        <f>IF(J212="","",IF(K212="Sale","Descartado",IF(L212="Sale","Descartado",IF(OR(M212="Q3",M212="Q4",M212="No aparece"),"Descartado",IF(N212="Sale","Descartado",IF(O212="Sigue","APROBADO","En proceso"))))))</f>
        <v/>
      </c>
    </row>
    <row r="213" ht="15" customHeight="1">
      <c r="A213" s="8">
        <f>IF(B213="","",ROW()-2)</f>
        <v/>
      </c>
      <c r="B213" s="9" t="n"/>
      <c r="C213" s="9" t="n"/>
      <c r="D213" s="12" t="n"/>
      <c r="E213" s="9" t="n"/>
      <c r="F213" s="9" t="n"/>
      <c r="G213" s="9" t="n"/>
      <c r="H213" s="12" t="n"/>
      <c r="I213" s="8">
        <f>IF(B213="","",IF(AND(F213&lt;&gt;"",SUMPRODUCT(--ISNUMBER(SEARCH(Preseleccionados!$A$2:$A$11,F213)))&gt;0),"YA ESTÁ",IF(AND(F213&lt;&gt;"",COUNTIF($F$3:F213,F213)&gt;1),"REPETIDO","")))</f>
        <v/>
      </c>
      <c r="J213" s="8">
        <f>IF(OR(B213="",I213&lt;&gt;""),"",IF(MOD(COUNTIFS($B$3:B213,"&lt;&gt;",$I$3:I213,""),2)=1,"Carlos","Joaquín"))</f>
        <v/>
      </c>
      <c r="K213" s="11" t="n"/>
      <c r="L213" s="11" t="n"/>
      <c r="M213" s="11" t="n"/>
      <c r="N213" s="11" t="n"/>
      <c r="O213" s="11" t="n"/>
      <c r="P213" s="8">
        <f>IF(J213="","",IF(K213="Sale","Descartado",IF(L213="Sale","Descartado",IF(OR(M213="Q3",M213="Q4",M213="No aparece"),"Descartado",IF(N213="Sale","Descartado",IF(O213="Sigue","APROBADO","En proceso"))))))</f>
        <v/>
      </c>
    </row>
    <row r="214" ht="15" customHeight="1">
      <c r="A214" s="8">
        <f>IF(B214="","",ROW()-2)</f>
        <v/>
      </c>
      <c r="B214" s="9" t="n"/>
      <c r="C214" s="9" t="n"/>
      <c r="D214" s="12" t="n"/>
      <c r="E214" s="9" t="n"/>
      <c r="F214" s="9" t="n"/>
      <c r="G214" s="9" t="n"/>
      <c r="H214" s="12" t="n"/>
      <c r="I214" s="8">
        <f>IF(B214="","",IF(AND(F214&lt;&gt;"",SUMPRODUCT(--ISNUMBER(SEARCH(Preseleccionados!$A$2:$A$11,F214)))&gt;0),"YA ESTÁ",IF(AND(F214&lt;&gt;"",COUNTIF($F$3:F214,F214)&gt;1),"REPETIDO","")))</f>
        <v/>
      </c>
      <c r="J214" s="8">
        <f>IF(OR(B214="",I214&lt;&gt;""),"",IF(MOD(COUNTIFS($B$3:B214,"&lt;&gt;",$I$3:I214,""),2)=1,"Carlos","Joaquín"))</f>
        <v/>
      </c>
      <c r="K214" s="11" t="n"/>
      <c r="L214" s="11" t="n"/>
      <c r="M214" s="11" t="n"/>
      <c r="N214" s="11" t="n"/>
      <c r="O214" s="11" t="n"/>
      <c r="P214" s="8">
        <f>IF(J214="","",IF(K214="Sale","Descartado",IF(L214="Sale","Descartado",IF(OR(M214="Q3",M214="Q4",M214="No aparece"),"Descartado",IF(N214="Sale","Descartado",IF(O214="Sigue","APROBADO","En proceso"))))))</f>
        <v/>
      </c>
    </row>
    <row r="215" ht="15" customHeight="1">
      <c r="A215" s="8">
        <f>IF(B215="","",ROW()-2)</f>
        <v/>
      </c>
      <c r="B215" s="9" t="n"/>
      <c r="C215" s="9" t="n"/>
      <c r="D215" s="12" t="n"/>
      <c r="E215" s="9" t="n"/>
      <c r="F215" s="9" t="n"/>
      <c r="G215" s="9" t="n"/>
      <c r="H215" s="12" t="n"/>
      <c r="I215" s="8">
        <f>IF(B215="","",IF(AND(F215&lt;&gt;"",SUMPRODUCT(--ISNUMBER(SEARCH(Preseleccionados!$A$2:$A$11,F215)))&gt;0),"YA ESTÁ",IF(AND(F215&lt;&gt;"",COUNTIF($F$3:F215,F215)&gt;1),"REPETIDO","")))</f>
        <v/>
      </c>
      <c r="J215" s="8">
        <f>IF(OR(B215="",I215&lt;&gt;""),"",IF(MOD(COUNTIFS($B$3:B215,"&lt;&gt;",$I$3:I215,""),2)=1,"Carlos","Joaquín"))</f>
        <v/>
      </c>
      <c r="K215" s="11" t="n"/>
      <c r="L215" s="11" t="n"/>
      <c r="M215" s="11" t="n"/>
      <c r="N215" s="11" t="n"/>
      <c r="O215" s="11" t="n"/>
      <c r="P215" s="8">
        <f>IF(J215="","",IF(K215="Sale","Descartado",IF(L215="Sale","Descartado",IF(OR(M215="Q3",M215="Q4",M215="No aparece"),"Descartado",IF(N215="Sale","Descartado",IF(O215="Sigue","APROBADO","En proceso"))))))</f>
        <v/>
      </c>
    </row>
    <row r="216" ht="15" customHeight="1">
      <c r="A216" s="8">
        <f>IF(B216="","",ROW()-2)</f>
        <v/>
      </c>
      <c r="B216" s="9" t="n"/>
      <c r="C216" s="9" t="n"/>
      <c r="D216" s="12" t="n"/>
      <c r="E216" s="9" t="n"/>
      <c r="F216" s="9" t="n"/>
      <c r="G216" s="9" t="n"/>
      <c r="H216" s="12" t="n"/>
      <c r="I216" s="8">
        <f>IF(B216="","",IF(AND(F216&lt;&gt;"",SUMPRODUCT(--ISNUMBER(SEARCH(Preseleccionados!$A$2:$A$11,F216)))&gt;0),"YA ESTÁ",IF(AND(F216&lt;&gt;"",COUNTIF($F$3:F216,F216)&gt;1),"REPETIDO","")))</f>
        <v/>
      </c>
      <c r="J216" s="8">
        <f>IF(OR(B216="",I216&lt;&gt;""),"",IF(MOD(COUNTIFS($B$3:B216,"&lt;&gt;",$I$3:I216,""),2)=1,"Carlos","Joaquín"))</f>
        <v/>
      </c>
      <c r="K216" s="11" t="n"/>
      <c r="L216" s="11" t="n"/>
      <c r="M216" s="11" t="n"/>
      <c r="N216" s="11" t="n"/>
      <c r="O216" s="11" t="n"/>
      <c r="P216" s="8">
        <f>IF(J216="","",IF(K216="Sale","Descartado",IF(L216="Sale","Descartado",IF(OR(M216="Q3",M216="Q4",M216="No aparece"),"Descartado",IF(N216="Sale","Descartado",IF(O216="Sigue","APROBADO","En proceso"))))))</f>
        <v/>
      </c>
    </row>
    <row r="217" ht="15" customHeight="1">
      <c r="A217" s="8">
        <f>IF(B217="","",ROW()-2)</f>
        <v/>
      </c>
      <c r="B217" s="9" t="n"/>
      <c r="C217" s="9" t="n"/>
      <c r="D217" s="12" t="n"/>
      <c r="E217" s="9" t="n"/>
      <c r="F217" s="9" t="n"/>
      <c r="G217" s="9" t="n"/>
      <c r="H217" s="12" t="n"/>
      <c r="I217" s="8">
        <f>IF(B217="","",IF(AND(F217&lt;&gt;"",SUMPRODUCT(--ISNUMBER(SEARCH(Preseleccionados!$A$2:$A$11,F217)))&gt;0),"YA ESTÁ",IF(AND(F217&lt;&gt;"",COUNTIF($F$3:F217,F217)&gt;1),"REPETIDO","")))</f>
        <v/>
      </c>
      <c r="J217" s="8">
        <f>IF(OR(B217="",I217&lt;&gt;""),"",IF(MOD(COUNTIFS($B$3:B217,"&lt;&gt;",$I$3:I217,""),2)=1,"Carlos","Joaquín"))</f>
        <v/>
      </c>
      <c r="K217" s="11" t="n"/>
      <c r="L217" s="11" t="n"/>
      <c r="M217" s="11" t="n"/>
      <c r="N217" s="11" t="n"/>
      <c r="O217" s="11" t="n"/>
      <c r="P217" s="8">
        <f>IF(J217="","",IF(K217="Sale","Descartado",IF(L217="Sale","Descartado",IF(OR(M217="Q3",M217="Q4",M217="No aparece"),"Descartado",IF(N217="Sale","Descartado",IF(O217="Sigue","APROBADO","En proceso"))))))</f>
        <v/>
      </c>
    </row>
    <row r="218" ht="15" customHeight="1">
      <c r="A218" s="8">
        <f>IF(B218="","",ROW()-2)</f>
        <v/>
      </c>
      <c r="B218" s="9" t="n"/>
      <c r="C218" s="9" t="n"/>
      <c r="D218" s="12" t="n"/>
      <c r="E218" s="9" t="n"/>
      <c r="F218" s="9" t="n"/>
      <c r="G218" s="9" t="n"/>
      <c r="H218" s="12" t="n"/>
      <c r="I218" s="8">
        <f>IF(B218="","",IF(AND(F218&lt;&gt;"",SUMPRODUCT(--ISNUMBER(SEARCH(Preseleccionados!$A$2:$A$11,F218)))&gt;0),"YA ESTÁ",IF(AND(F218&lt;&gt;"",COUNTIF($F$3:F218,F218)&gt;1),"REPETIDO","")))</f>
        <v/>
      </c>
      <c r="J218" s="8">
        <f>IF(OR(B218="",I218&lt;&gt;""),"",IF(MOD(COUNTIFS($B$3:B218,"&lt;&gt;",$I$3:I218,""),2)=1,"Carlos","Joaquín"))</f>
        <v/>
      </c>
      <c r="K218" s="11" t="n"/>
      <c r="L218" s="11" t="n"/>
      <c r="M218" s="11" t="n"/>
      <c r="N218" s="11" t="n"/>
      <c r="O218" s="11" t="n"/>
      <c r="P218" s="8">
        <f>IF(J218="","",IF(K218="Sale","Descartado",IF(L218="Sale","Descartado",IF(OR(M218="Q3",M218="Q4",M218="No aparece"),"Descartado",IF(N218="Sale","Descartado",IF(O218="Sigue","APROBADO","En proceso"))))))</f>
        <v/>
      </c>
    </row>
    <row r="219" ht="15" customHeight="1">
      <c r="A219" s="8">
        <f>IF(B219="","",ROW()-2)</f>
        <v/>
      </c>
      <c r="B219" s="9" t="n"/>
      <c r="C219" s="9" t="n"/>
      <c r="D219" s="12" t="n"/>
      <c r="E219" s="9" t="n"/>
      <c r="F219" s="9" t="n"/>
      <c r="G219" s="9" t="n"/>
      <c r="H219" s="12" t="n"/>
      <c r="I219" s="8">
        <f>IF(B219="","",IF(AND(F219&lt;&gt;"",SUMPRODUCT(--ISNUMBER(SEARCH(Preseleccionados!$A$2:$A$11,F219)))&gt;0),"YA ESTÁ",IF(AND(F219&lt;&gt;"",COUNTIF($F$3:F219,F219)&gt;1),"REPETIDO","")))</f>
        <v/>
      </c>
      <c r="J219" s="8">
        <f>IF(OR(B219="",I219&lt;&gt;""),"",IF(MOD(COUNTIFS($B$3:B219,"&lt;&gt;",$I$3:I219,""),2)=1,"Carlos","Joaquín"))</f>
        <v/>
      </c>
      <c r="K219" s="11" t="n"/>
      <c r="L219" s="11" t="n"/>
      <c r="M219" s="11" t="n"/>
      <c r="N219" s="11" t="n"/>
      <c r="O219" s="11" t="n"/>
      <c r="P219" s="8">
        <f>IF(J219="","",IF(K219="Sale","Descartado",IF(L219="Sale","Descartado",IF(OR(M219="Q3",M219="Q4",M219="No aparece"),"Descartado",IF(N219="Sale","Descartado",IF(O219="Sigue","APROBADO","En proceso"))))))</f>
        <v/>
      </c>
    </row>
    <row r="220" ht="15" customHeight="1">
      <c r="A220" s="8">
        <f>IF(B220="","",ROW()-2)</f>
        <v/>
      </c>
      <c r="B220" s="9" t="n"/>
      <c r="C220" s="9" t="n"/>
      <c r="D220" s="12" t="n"/>
      <c r="E220" s="9" t="n"/>
      <c r="F220" s="9" t="n"/>
      <c r="G220" s="9" t="n"/>
      <c r="H220" s="12" t="n"/>
      <c r="I220" s="8">
        <f>IF(B220="","",IF(AND(F220&lt;&gt;"",SUMPRODUCT(--ISNUMBER(SEARCH(Preseleccionados!$A$2:$A$11,F220)))&gt;0),"YA ESTÁ",IF(AND(F220&lt;&gt;"",COUNTIF($F$3:F220,F220)&gt;1),"REPETIDO","")))</f>
        <v/>
      </c>
      <c r="J220" s="8">
        <f>IF(OR(B220="",I220&lt;&gt;""),"",IF(MOD(COUNTIFS($B$3:B220,"&lt;&gt;",$I$3:I220,""),2)=1,"Carlos","Joaquín"))</f>
        <v/>
      </c>
      <c r="K220" s="11" t="n"/>
      <c r="L220" s="11" t="n"/>
      <c r="M220" s="11" t="n"/>
      <c r="N220" s="11" t="n"/>
      <c r="O220" s="11" t="n"/>
      <c r="P220" s="8">
        <f>IF(J220="","",IF(K220="Sale","Descartado",IF(L220="Sale","Descartado",IF(OR(M220="Q3",M220="Q4",M220="No aparece"),"Descartado",IF(N220="Sale","Descartado",IF(O220="Sigue","APROBADO","En proceso"))))))</f>
        <v/>
      </c>
    </row>
    <row r="221" ht="15" customHeight="1">
      <c r="A221" s="8">
        <f>IF(B221="","",ROW()-2)</f>
        <v/>
      </c>
      <c r="B221" s="9" t="n"/>
      <c r="C221" s="9" t="n"/>
      <c r="D221" s="12" t="n"/>
      <c r="E221" s="9" t="n"/>
      <c r="F221" s="9" t="n"/>
      <c r="G221" s="9" t="n"/>
      <c r="H221" s="12" t="n"/>
      <c r="I221" s="8">
        <f>IF(B221="","",IF(AND(F221&lt;&gt;"",SUMPRODUCT(--ISNUMBER(SEARCH(Preseleccionados!$A$2:$A$11,F221)))&gt;0),"YA ESTÁ",IF(AND(F221&lt;&gt;"",COUNTIF($F$3:F221,F221)&gt;1),"REPETIDO","")))</f>
        <v/>
      </c>
      <c r="J221" s="8">
        <f>IF(OR(B221="",I221&lt;&gt;""),"",IF(MOD(COUNTIFS($B$3:B221,"&lt;&gt;",$I$3:I221,""),2)=1,"Carlos","Joaquín"))</f>
        <v/>
      </c>
      <c r="K221" s="11" t="n"/>
      <c r="L221" s="11" t="n"/>
      <c r="M221" s="11" t="n"/>
      <c r="N221" s="11" t="n"/>
      <c r="O221" s="11" t="n"/>
      <c r="P221" s="8">
        <f>IF(J221="","",IF(K221="Sale","Descartado",IF(L221="Sale","Descartado",IF(OR(M221="Q3",M221="Q4",M221="No aparece"),"Descartado",IF(N221="Sale","Descartado",IF(O221="Sigue","APROBADO","En proceso"))))))</f>
        <v/>
      </c>
    </row>
    <row r="222" ht="15" customHeight="1">
      <c r="A222" s="8">
        <f>IF(B222="","",ROW()-2)</f>
        <v/>
      </c>
      <c r="B222" s="9" t="n"/>
      <c r="C222" s="9" t="n"/>
      <c r="D222" s="12" t="n"/>
      <c r="E222" s="9" t="n"/>
      <c r="F222" s="9" t="n"/>
      <c r="G222" s="9" t="n"/>
      <c r="H222" s="12" t="n"/>
      <c r="I222" s="8">
        <f>IF(B222="","",IF(AND(F222&lt;&gt;"",SUMPRODUCT(--ISNUMBER(SEARCH(Preseleccionados!$A$2:$A$11,F222)))&gt;0),"YA ESTÁ",IF(AND(F222&lt;&gt;"",COUNTIF($F$3:F222,F222)&gt;1),"REPETIDO","")))</f>
        <v/>
      </c>
      <c r="J222" s="8">
        <f>IF(OR(B222="",I222&lt;&gt;""),"",IF(MOD(COUNTIFS($B$3:B222,"&lt;&gt;",$I$3:I222,""),2)=1,"Carlos","Joaquín"))</f>
        <v/>
      </c>
      <c r="K222" s="11" t="n"/>
      <c r="L222" s="11" t="n"/>
      <c r="M222" s="11" t="n"/>
      <c r="N222" s="11" t="n"/>
      <c r="O222" s="11" t="n"/>
      <c r="P222" s="8">
        <f>IF(J222="","",IF(K222="Sale","Descartado",IF(L222="Sale","Descartado",IF(OR(M222="Q3",M222="Q4",M222="No aparece"),"Descartado",IF(N222="Sale","Descartado",IF(O222="Sigue","APROBADO","En proceso"))))))</f>
        <v/>
      </c>
    </row>
    <row r="223" ht="15" customHeight="1">
      <c r="A223" s="8">
        <f>IF(B223="","",ROW()-2)</f>
        <v/>
      </c>
      <c r="B223" s="9" t="n"/>
      <c r="C223" s="9" t="n"/>
      <c r="D223" s="12" t="n"/>
      <c r="E223" s="9" t="n"/>
      <c r="F223" s="9" t="n"/>
      <c r="G223" s="9" t="n"/>
      <c r="H223" s="12" t="n"/>
      <c r="I223" s="8">
        <f>IF(B223="","",IF(AND(F223&lt;&gt;"",SUMPRODUCT(--ISNUMBER(SEARCH(Preseleccionados!$A$2:$A$11,F223)))&gt;0),"YA ESTÁ",IF(AND(F223&lt;&gt;"",COUNTIF($F$3:F223,F223)&gt;1),"REPETIDO","")))</f>
        <v/>
      </c>
      <c r="J223" s="8">
        <f>IF(OR(B223="",I223&lt;&gt;""),"",IF(MOD(COUNTIFS($B$3:B223,"&lt;&gt;",$I$3:I223,""),2)=1,"Carlos","Joaquín"))</f>
        <v/>
      </c>
      <c r="K223" s="11" t="n"/>
      <c r="L223" s="11" t="n"/>
      <c r="M223" s="11" t="n"/>
      <c r="N223" s="11" t="n"/>
      <c r="O223" s="11" t="n"/>
      <c r="P223" s="8">
        <f>IF(J223="","",IF(K223="Sale","Descartado",IF(L223="Sale","Descartado",IF(OR(M223="Q3",M223="Q4",M223="No aparece"),"Descartado",IF(N223="Sale","Descartado",IF(O223="Sigue","APROBADO","En proceso"))))))</f>
        <v/>
      </c>
    </row>
    <row r="224" ht="15" customHeight="1">
      <c r="A224" s="8">
        <f>IF(B224="","",ROW()-2)</f>
        <v/>
      </c>
      <c r="B224" s="9" t="n"/>
      <c r="C224" s="9" t="n"/>
      <c r="D224" s="12" t="n"/>
      <c r="E224" s="9" t="n"/>
      <c r="F224" s="9" t="n"/>
      <c r="G224" s="9" t="n"/>
      <c r="H224" s="12" t="n"/>
      <c r="I224" s="8">
        <f>IF(B224="","",IF(AND(F224&lt;&gt;"",SUMPRODUCT(--ISNUMBER(SEARCH(Preseleccionados!$A$2:$A$11,F224)))&gt;0),"YA ESTÁ",IF(AND(F224&lt;&gt;"",COUNTIF($F$3:F224,F224)&gt;1),"REPETIDO","")))</f>
        <v/>
      </c>
      <c r="J224" s="8">
        <f>IF(OR(B224="",I224&lt;&gt;""),"",IF(MOD(COUNTIFS($B$3:B224,"&lt;&gt;",$I$3:I224,""),2)=1,"Carlos","Joaquín"))</f>
        <v/>
      </c>
      <c r="K224" s="11" t="n"/>
      <c r="L224" s="11" t="n"/>
      <c r="M224" s="11" t="n"/>
      <c r="N224" s="11" t="n"/>
      <c r="O224" s="11" t="n"/>
      <c r="P224" s="8">
        <f>IF(J224="","",IF(K224="Sale","Descartado",IF(L224="Sale","Descartado",IF(OR(M224="Q3",M224="Q4",M224="No aparece"),"Descartado",IF(N224="Sale","Descartado",IF(O224="Sigue","APROBADO","En proceso"))))))</f>
        <v/>
      </c>
    </row>
    <row r="225" ht="15" customHeight="1">
      <c r="A225" s="8">
        <f>IF(B225="","",ROW()-2)</f>
        <v/>
      </c>
      <c r="B225" s="9" t="n"/>
      <c r="C225" s="9" t="n"/>
      <c r="D225" s="12" t="n"/>
      <c r="E225" s="9" t="n"/>
      <c r="F225" s="9" t="n"/>
      <c r="G225" s="9" t="n"/>
      <c r="H225" s="12" t="n"/>
      <c r="I225" s="8">
        <f>IF(B225="","",IF(AND(F225&lt;&gt;"",SUMPRODUCT(--ISNUMBER(SEARCH(Preseleccionados!$A$2:$A$11,F225)))&gt;0),"YA ESTÁ",IF(AND(F225&lt;&gt;"",COUNTIF($F$3:F225,F225)&gt;1),"REPETIDO","")))</f>
        <v/>
      </c>
      <c r="J225" s="8">
        <f>IF(OR(B225="",I225&lt;&gt;""),"",IF(MOD(COUNTIFS($B$3:B225,"&lt;&gt;",$I$3:I225,""),2)=1,"Carlos","Joaquín"))</f>
        <v/>
      </c>
      <c r="K225" s="11" t="n"/>
      <c r="L225" s="11" t="n"/>
      <c r="M225" s="11" t="n"/>
      <c r="N225" s="11" t="n"/>
      <c r="O225" s="11" t="n"/>
      <c r="P225" s="8">
        <f>IF(J225="","",IF(K225="Sale","Descartado",IF(L225="Sale","Descartado",IF(OR(M225="Q3",M225="Q4",M225="No aparece"),"Descartado",IF(N225="Sale","Descartado",IF(O225="Sigue","APROBADO","En proceso"))))))</f>
        <v/>
      </c>
    </row>
    <row r="226" ht="15" customHeight="1">
      <c r="A226" s="8">
        <f>IF(B226="","",ROW()-2)</f>
        <v/>
      </c>
      <c r="B226" s="9" t="n"/>
      <c r="C226" s="9" t="n"/>
      <c r="D226" s="12" t="n"/>
      <c r="E226" s="9" t="n"/>
      <c r="F226" s="9" t="n"/>
      <c r="G226" s="9" t="n"/>
      <c r="H226" s="12" t="n"/>
      <c r="I226" s="8">
        <f>IF(B226="","",IF(AND(F226&lt;&gt;"",SUMPRODUCT(--ISNUMBER(SEARCH(Preseleccionados!$A$2:$A$11,F226)))&gt;0),"YA ESTÁ",IF(AND(F226&lt;&gt;"",COUNTIF($F$3:F226,F226)&gt;1),"REPETIDO","")))</f>
        <v/>
      </c>
      <c r="J226" s="8">
        <f>IF(OR(B226="",I226&lt;&gt;""),"",IF(MOD(COUNTIFS($B$3:B226,"&lt;&gt;",$I$3:I226,""),2)=1,"Carlos","Joaquín"))</f>
        <v/>
      </c>
      <c r="K226" s="11" t="n"/>
      <c r="L226" s="11" t="n"/>
      <c r="M226" s="11" t="n"/>
      <c r="N226" s="11" t="n"/>
      <c r="O226" s="11" t="n"/>
      <c r="P226" s="8">
        <f>IF(J226="","",IF(K226="Sale","Descartado",IF(L226="Sale","Descartado",IF(OR(M226="Q3",M226="Q4",M226="No aparece"),"Descartado",IF(N226="Sale","Descartado",IF(O226="Sigue","APROBADO","En proceso"))))))</f>
        <v/>
      </c>
    </row>
    <row r="227" ht="15" customHeight="1">
      <c r="A227" s="8">
        <f>IF(B227="","",ROW()-2)</f>
        <v/>
      </c>
      <c r="B227" s="9" t="n"/>
      <c r="C227" s="9" t="n"/>
      <c r="D227" s="12" t="n"/>
      <c r="E227" s="9" t="n"/>
      <c r="F227" s="9" t="n"/>
      <c r="G227" s="9" t="n"/>
      <c r="H227" s="12" t="n"/>
      <c r="I227" s="8">
        <f>IF(B227="","",IF(AND(F227&lt;&gt;"",SUMPRODUCT(--ISNUMBER(SEARCH(Preseleccionados!$A$2:$A$11,F227)))&gt;0),"YA ESTÁ",IF(AND(F227&lt;&gt;"",COUNTIF($F$3:F227,F227)&gt;1),"REPETIDO","")))</f>
        <v/>
      </c>
      <c r="J227" s="8">
        <f>IF(OR(B227="",I227&lt;&gt;""),"",IF(MOD(COUNTIFS($B$3:B227,"&lt;&gt;",$I$3:I227,""),2)=1,"Carlos","Joaquín"))</f>
        <v/>
      </c>
      <c r="K227" s="11" t="n"/>
      <c r="L227" s="11" t="n"/>
      <c r="M227" s="11" t="n"/>
      <c r="N227" s="11" t="n"/>
      <c r="O227" s="11" t="n"/>
      <c r="P227" s="8">
        <f>IF(J227="","",IF(K227="Sale","Descartado",IF(L227="Sale","Descartado",IF(OR(M227="Q3",M227="Q4",M227="No aparece"),"Descartado",IF(N227="Sale","Descartado",IF(O227="Sigue","APROBADO","En proceso"))))))</f>
        <v/>
      </c>
    </row>
    <row r="228" ht="15" customHeight="1">
      <c r="A228" s="8">
        <f>IF(B228="","",ROW()-2)</f>
        <v/>
      </c>
      <c r="B228" s="9" t="n"/>
      <c r="C228" s="9" t="n"/>
      <c r="D228" s="12" t="n"/>
      <c r="E228" s="9" t="n"/>
      <c r="F228" s="9" t="n"/>
      <c r="G228" s="9" t="n"/>
      <c r="H228" s="12" t="n"/>
      <c r="I228" s="8">
        <f>IF(B228="","",IF(AND(F228&lt;&gt;"",SUMPRODUCT(--ISNUMBER(SEARCH(Preseleccionados!$A$2:$A$11,F228)))&gt;0),"YA ESTÁ",IF(AND(F228&lt;&gt;"",COUNTIF($F$3:F228,F228)&gt;1),"REPETIDO","")))</f>
        <v/>
      </c>
      <c r="J228" s="8">
        <f>IF(OR(B228="",I228&lt;&gt;""),"",IF(MOD(COUNTIFS($B$3:B228,"&lt;&gt;",$I$3:I228,""),2)=1,"Carlos","Joaquín"))</f>
        <v/>
      </c>
      <c r="K228" s="11" t="n"/>
      <c r="L228" s="11" t="n"/>
      <c r="M228" s="11" t="n"/>
      <c r="N228" s="11" t="n"/>
      <c r="O228" s="11" t="n"/>
      <c r="P228" s="8">
        <f>IF(J228="","",IF(K228="Sale","Descartado",IF(L228="Sale","Descartado",IF(OR(M228="Q3",M228="Q4",M228="No aparece"),"Descartado",IF(N228="Sale","Descartado",IF(O228="Sigue","APROBADO","En proceso"))))))</f>
        <v/>
      </c>
    </row>
    <row r="229" ht="15" customHeight="1">
      <c r="A229" s="8">
        <f>IF(B229="","",ROW()-2)</f>
        <v/>
      </c>
      <c r="B229" s="9" t="n"/>
      <c r="C229" s="9" t="n"/>
      <c r="D229" s="12" t="n"/>
      <c r="E229" s="9" t="n"/>
      <c r="F229" s="9" t="n"/>
      <c r="G229" s="9" t="n"/>
      <c r="H229" s="12" t="n"/>
      <c r="I229" s="8">
        <f>IF(B229="","",IF(AND(F229&lt;&gt;"",SUMPRODUCT(--ISNUMBER(SEARCH(Preseleccionados!$A$2:$A$11,F229)))&gt;0),"YA ESTÁ",IF(AND(F229&lt;&gt;"",COUNTIF($F$3:F229,F229)&gt;1),"REPETIDO","")))</f>
        <v/>
      </c>
      <c r="J229" s="8">
        <f>IF(OR(B229="",I229&lt;&gt;""),"",IF(MOD(COUNTIFS($B$3:B229,"&lt;&gt;",$I$3:I229,""),2)=1,"Carlos","Joaquín"))</f>
        <v/>
      </c>
      <c r="K229" s="11" t="n"/>
      <c r="L229" s="11" t="n"/>
      <c r="M229" s="11" t="n"/>
      <c r="N229" s="11" t="n"/>
      <c r="O229" s="11" t="n"/>
      <c r="P229" s="8">
        <f>IF(J229="","",IF(K229="Sale","Descartado",IF(L229="Sale","Descartado",IF(OR(M229="Q3",M229="Q4",M229="No aparece"),"Descartado",IF(N229="Sale","Descartado",IF(O229="Sigue","APROBADO","En proceso"))))))</f>
        <v/>
      </c>
    </row>
    <row r="230" ht="15" customHeight="1">
      <c r="A230" s="8">
        <f>IF(B230="","",ROW()-2)</f>
        <v/>
      </c>
      <c r="B230" s="9" t="n"/>
      <c r="C230" s="9" t="n"/>
      <c r="D230" s="12" t="n"/>
      <c r="E230" s="9" t="n"/>
      <c r="F230" s="9" t="n"/>
      <c r="G230" s="9" t="n"/>
      <c r="H230" s="12" t="n"/>
      <c r="I230" s="8">
        <f>IF(B230="","",IF(AND(F230&lt;&gt;"",SUMPRODUCT(--ISNUMBER(SEARCH(Preseleccionados!$A$2:$A$11,F230)))&gt;0),"YA ESTÁ",IF(AND(F230&lt;&gt;"",COUNTIF($F$3:F230,F230)&gt;1),"REPETIDO","")))</f>
        <v/>
      </c>
      <c r="J230" s="8">
        <f>IF(OR(B230="",I230&lt;&gt;""),"",IF(MOD(COUNTIFS($B$3:B230,"&lt;&gt;",$I$3:I230,""),2)=1,"Carlos","Joaquín"))</f>
        <v/>
      </c>
      <c r="K230" s="11" t="n"/>
      <c r="L230" s="11" t="n"/>
      <c r="M230" s="11" t="n"/>
      <c r="N230" s="11" t="n"/>
      <c r="O230" s="11" t="n"/>
      <c r="P230" s="8">
        <f>IF(J230="","",IF(K230="Sale","Descartado",IF(L230="Sale","Descartado",IF(OR(M230="Q3",M230="Q4",M230="No aparece"),"Descartado",IF(N230="Sale","Descartado",IF(O230="Sigue","APROBADO","En proceso"))))))</f>
        <v/>
      </c>
    </row>
    <row r="231" ht="15" customHeight="1">
      <c r="A231" s="8">
        <f>IF(B231="","",ROW()-2)</f>
        <v/>
      </c>
      <c r="B231" s="9" t="n"/>
      <c r="C231" s="9" t="n"/>
      <c r="D231" s="12" t="n"/>
      <c r="E231" s="9" t="n"/>
      <c r="F231" s="9" t="n"/>
      <c r="G231" s="9" t="n"/>
      <c r="H231" s="12" t="n"/>
      <c r="I231" s="8">
        <f>IF(B231="","",IF(AND(F231&lt;&gt;"",SUMPRODUCT(--ISNUMBER(SEARCH(Preseleccionados!$A$2:$A$11,F231)))&gt;0),"YA ESTÁ",IF(AND(F231&lt;&gt;"",COUNTIF($F$3:F231,F231)&gt;1),"REPETIDO","")))</f>
        <v/>
      </c>
      <c r="J231" s="8">
        <f>IF(OR(B231="",I231&lt;&gt;""),"",IF(MOD(COUNTIFS($B$3:B231,"&lt;&gt;",$I$3:I231,""),2)=1,"Carlos","Joaquín"))</f>
        <v/>
      </c>
      <c r="K231" s="11" t="n"/>
      <c r="L231" s="11" t="n"/>
      <c r="M231" s="11" t="n"/>
      <c r="N231" s="11" t="n"/>
      <c r="O231" s="11" t="n"/>
      <c r="P231" s="8">
        <f>IF(J231="","",IF(K231="Sale","Descartado",IF(L231="Sale","Descartado",IF(OR(M231="Q3",M231="Q4",M231="No aparece"),"Descartado",IF(N231="Sale","Descartado",IF(O231="Sigue","APROBADO","En proceso"))))))</f>
        <v/>
      </c>
    </row>
    <row r="232" ht="15" customHeight="1">
      <c r="A232" s="8">
        <f>IF(B232="","",ROW()-2)</f>
        <v/>
      </c>
      <c r="B232" s="9" t="n"/>
      <c r="C232" s="9" t="n"/>
      <c r="D232" s="12" t="n"/>
      <c r="E232" s="9" t="n"/>
      <c r="F232" s="9" t="n"/>
      <c r="G232" s="9" t="n"/>
      <c r="H232" s="12" t="n"/>
      <c r="I232" s="8">
        <f>IF(B232="","",IF(AND(F232&lt;&gt;"",SUMPRODUCT(--ISNUMBER(SEARCH(Preseleccionados!$A$2:$A$11,F232)))&gt;0),"YA ESTÁ",IF(AND(F232&lt;&gt;"",COUNTIF($F$3:F232,F232)&gt;1),"REPETIDO","")))</f>
        <v/>
      </c>
      <c r="J232" s="8">
        <f>IF(OR(B232="",I232&lt;&gt;""),"",IF(MOD(COUNTIFS($B$3:B232,"&lt;&gt;",$I$3:I232,""),2)=1,"Carlos","Joaquín"))</f>
        <v/>
      </c>
      <c r="K232" s="11" t="n"/>
      <c r="L232" s="11" t="n"/>
      <c r="M232" s="11" t="n"/>
      <c r="N232" s="11" t="n"/>
      <c r="O232" s="11" t="n"/>
      <c r="P232" s="8">
        <f>IF(J232="","",IF(K232="Sale","Descartado",IF(L232="Sale","Descartado",IF(OR(M232="Q3",M232="Q4",M232="No aparece"),"Descartado",IF(N232="Sale","Descartado",IF(O232="Sigue","APROBADO","En proceso"))))))</f>
        <v/>
      </c>
    </row>
    <row r="233" ht="15" customHeight="1">
      <c r="A233" s="8">
        <f>IF(B233="","",ROW()-2)</f>
        <v/>
      </c>
      <c r="B233" s="9" t="n"/>
      <c r="C233" s="9" t="n"/>
      <c r="D233" s="12" t="n"/>
      <c r="E233" s="9" t="n"/>
      <c r="F233" s="9" t="n"/>
      <c r="G233" s="9" t="n"/>
      <c r="H233" s="12" t="n"/>
      <c r="I233" s="8">
        <f>IF(B233="","",IF(AND(F233&lt;&gt;"",SUMPRODUCT(--ISNUMBER(SEARCH(Preseleccionados!$A$2:$A$11,F233)))&gt;0),"YA ESTÁ",IF(AND(F233&lt;&gt;"",COUNTIF($F$3:F233,F233)&gt;1),"REPETIDO","")))</f>
        <v/>
      </c>
      <c r="J233" s="8">
        <f>IF(OR(B233="",I233&lt;&gt;""),"",IF(MOD(COUNTIFS($B$3:B233,"&lt;&gt;",$I$3:I233,""),2)=1,"Carlos","Joaquín"))</f>
        <v/>
      </c>
      <c r="K233" s="11" t="n"/>
      <c r="L233" s="11" t="n"/>
      <c r="M233" s="11" t="n"/>
      <c r="N233" s="11" t="n"/>
      <c r="O233" s="11" t="n"/>
      <c r="P233" s="8">
        <f>IF(J233="","",IF(K233="Sale","Descartado",IF(L233="Sale","Descartado",IF(OR(M233="Q3",M233="Q4",M233="No aparece"),"Descartado",IF(N233="Sale","Descartado",IF(O233="Sigue","APROBADO","En proceso"))))))</f>
        <v/>
      </c>
    </row>
    <row r="234" ht="15" customHeight="1">
      <c r="A234" s="8">
        <f>IF(B234="","",ROW()-2)</f>
        <v/>
      </c>
      <c r="B234" s="9" t="n"/>
      <c r="C234" s="9" t="n"/>
      <c r="D234" s="12" t="n"/>
      <c r="E234" s="9" t="n"/>
      <c r="F234" s="9" t="n"/>
      <c r="G234" s="9" t="n"/>
      <c r="H234" s="12" t="n"/>
      <c r="I234" s="8">
        <f>IF(B234="","",IF(AND(F234&lt;&gt;"",SUMPRODUCT(--ISNUMBER(SEARCH(Preseleccionados!$A$2:$A$11,F234)))&gt;0),"YA ESTÁ",IF(AND(F234&lt;&gt;"",COUNTIF($F$3:F234,F234)&gt;1),"REPETIDO","")))</f>
        <v/>
      </c>
      <c r="J234" s="8">
        <f>IF(OR(B234="",I234&lt;&gt;""),"",IF(MOD(COUNTIFS($B$3:B234,"&lt;&gt;",$I$3:I234,""),2)=1,"Carlos","Joaquín"))</f>
        <v/>
      </c>
      <c r="K234" s="11" t="n"/>
      <c r="L234" s="11" t="n"/>
      <c r="M234" s="11" t="n"/>
      <c r="N234" s="11" t="n"/>
      <c r="O234" s="11" t="n"/>
      <c r="P234" s="8">
        <f>IF(J234="","",IF(K234="Sale","Descartado",IF(L234="Sale","Descartado",IF(OR(M234="Q3",M234="Q4",M234="No aparece"),"Descartado",IF(N234="Sale","Descartado",IF(O234="Sigue","APROBADO","En proceso"))))))</f>
        <v/>
      </c>
    </row>
    <row r="235" ht="15" customHeight="1">
      <c r="A235" s="8">
        <f>IF(B235="","",ROW()-2)</f>
        <v/>
      </c>
      <c r="B235" s="9" t="n"/>
      <c r="C235" s="9" t="n"/>
      <c r="D235" s="12" t="n"/>
      <c r="E235" s="9" t="n"/>
      <c r="F235" s="9" t="n"/>
      <c r="G235" s="9" t="n"/>
      <c r="H235" s="12" t="n"/>
      <c r="I235" s="8">
        <f>IF(B235="","",IF(AND(F235&lt;&gt;"",SUMPRODUCT(--ISNUMBER(SEARCH(Preseleccionados!$A$2:$A$11,F235)))&gt;0),"YA ESTÁ",IF(AND(F235&lt;&gt;"",COUNTIF($F$3:F235,F235)&gt;1),"REPETIDO","")))</f>
        <v/>
      </c>
      <c r="J235" s="8">
        <f>IF(OR(B235="",I235&lt;&gt;""),"",IF(MOD(COUNTIFS($B$3:B235,"&lt;&gt;",$I$3:I235,""),2)=1,"Carlos","Joaquín"))</f>
        <v/>
      </c>
      <c r="K235" s="11" t="n"/>
      <c r="L235" s="11" t="n"/>
      <c r="M235" s="11" t="n"/>
      <c r="N235" s="11" t="n"/>
      <c r="O235" s="11" t="n"/>
      <c r="P235" s="8">
        <f>IF(J235="","",IF(K235="Sale","Descartado",IF(L235="Sale","Descartado",IF(OR(M235="Q3",M235="Q4",M235="No aparece"),"Descartado",IF(N235="Sale","Descartado",IF(O235="Sigue","APROBADO","En proceso"))))))</f>
        <v/>
      </c>
    </row>
    <row r="236" ht="15" customHeight="1">
      <c r="A236" s="8">
        <f>IF(B236="","",ROW()-2)</f>
        <v/>
      </c>
      <c r="B236" s="9" t="n"/>
      <c r="C236" s="9" t="n"/>
      <c r="D236" s="12" t="n"/>
      <c r="E236" s="9" t="n"/>
      <c r="F236" s="9" t="n"/>
      <c r="G236" s="9" t="n"/>
      <c r="H236" s="12" t="n"/>
      <c r="I236" s="8">
        <f>IF(B236="","",IF(AND(F236&lt;&gt;"",SUMPRODUCT(--ISNUMBER(SEARCH(Preseleccionados!$A$2:$A$11,F236)))&gt;0),"YA ESTÁ",IF(AND(F236&lt;&gt;"",COUNTIF($F$3:F236,F236)&gt;1),"REPETIDO","")))</f>
        <v/>
      </c>
      <c r="J236" s="8">
        <f>IF(OR(B236="",I236&lt;&gt;""),"",IF(MOD(COUNTIFS($B$3:B236,"&lt;&gt;",$I$3:I236,""),2)=1,"Carlos","Joaquín"))</f>
        <v/>
      </c>
      <c r="K236" s="11" t="n"/>
      <c r="L236" s="11" t="n"/>
      <c r="M236" s="11" t="n"/>
      <c r="N236" s="11" t="n"/>
      <c r="O236" s="11" t="n"/>
      <c r="P236" s="8">
        <f>IF(J236="","",IF(K236="Sale","Descartado",IF(L236="Sale","Descartado",IF(OR(M236="Q3",M236="Q4",M236="No aparece"),"Descartado",IF(N236="Sale","Descartado",IF(O236="Sigue","APROBADO","En proceso"))))))</f>
        <v/>
      </c>
    </row>
    <row r="237" ht="15" customHeight="1">
      <c r="A237" s="8">
        <f>IF(B237="","",ROW()-2)</f>
        <v/>
      </c>
      <c r="B237" s="9" t="n"/>
      <c r="C237" s="9" t="n"/>
      <c r="D237" s="12" t="n"/>
      <c r="E237" s="9" t="n"/>
      <c r="F237" s="9" t="n"/>
      <c r="G237" s="9" t="n"/>
      <c r="H237" s="12" t="n"/>
      <c r="I237" s="8">
        <f>IF(B237="","",IF(AND(F237&lt;&gt;"",SUMPRODUCT(--ISNUMBER(SEARCH(Preseleccionados!$A$2:$A$11,F237)))&gt;0),"YA ESTÁ",IF(AND(F237&lt;&gt;"",COUNTIF($F$3:F237,F237)&gt;1),"REPETIDO","")))</f>
        <v/>
      </c>
      <c r="J237" s="8">
        <f>IF(OR(B237="",I237&lt;&gt;""),"",IF(MOD(COUNTIFS($B$3:B237,"&lt;&gt;",$I$3:I237,""),2)=1,"Carlos","Joaquín"))</f>
        <v/>
      </c>
      <c r="K237" s="11" t="n"/>
      <c r="L237" s="11" t="n"/>
      <c r="M237" s="11" t="n"/>
      <c r="N237" s="11" t="n"/>
      <c r="O237" s="11" t="n"/>
      <c r="P237" s="8">
        <f>IF(J237="","",IF(K237="Sale","Descartado",IF(L237="Sale","Descartado",IF(OR(M237="Q3",M237="Q4",M237="No aparece"),"Descartado",IF(N237="Sale","Descartado",IF(O237="Sigue","APROBADO","En proceso"))))))</f>
        <v/>
      </c>
    </row>
    <row r="238" ht="15" customHeight="1">
      <c r="A238" s="8">
        <f>IF(B238="","",ROW()-2)</f>
        <v/>
      </c>
      <c r="B238" s="9" t="n"/>
      <c r="C238" s="9" t="n"/>
      <c r="D238" s="12" t="n"/>
      <c r="E238" s="9" t="n"/>
      <c r="F238" s="9" t="n"/>
      <c r="G238" s="9" t="n"/>
      <c r="H238" s="12" t="n"/>
      <c r="I238" s="8">
        <f>IF(B238="","",IF(AND(F238&lt;&gt;"",SUMPRODUCT(--ISNUMBER(SEARCH(Preseleccionados!$A$2:$A$11,F238)))&gt;0),"YA ESTÁ",IF(AND(F238&lt;&gt;"",COUNTIF($F$3:F238,F238)&gt;1),"REPETIDO","")))</f>
        <v/>
      </c>
      <c r="J238" s="8">
        <f>IF(OR(B238="",I238&lt;&gt;""),"",IF(MOD(COUNTIFS($B$3:B238,"&lt;&gt;",$I$3:I238,""),2)=1,"Carlos","Joaquín"))</f>
        <v/>
      </c>
      <c r="K238" s="11" t="n"/>
      <c r="L238" s="11" t="n"/>
      <c r="M238" s="11" t="n"/>
      <c r="N238" s="11" t="n"/>
      <c r="O238" s="11" t="n"/>
      <c r="P238" s="8">
        <f>IF(J238="","",IF(K238="Sale","Descartado",IF(L238="Sale","Descartado",IF(OR(M238="Q3",M238="Q4",M238="No aparece"),"Descartado",IF(N238="Sale","Descartado",IF(O238="Sigue","APROBADO","En proceso"))))))</f>
        <v/>
      </c>
    </row>
    <row r="239" ht="15" customHeight="1">
      <c r="A239" s="8">
        <f>IF(B239="","",ROW()-2)</f>
        <v/>
      </c>
      <c r="B239" s="9" t="n"/>
      <c r="C239" s="9" t="n"/>
      <c r="D239" s="12" t="n"/>
      <c r="E239" s="9" t="n"/>
      <c r="F239" s="9" t="n"/>
      <c r="G239" s="9" t="n"/>
      <c r="H239" s="12" t="n"/>
      <c r="I239" s="8">
        <f>IF(B239="","",IF(AND(F239&lt;&gt;"",SUMPRODUCT(--ISNUMBER(SEARCH(Preseleccionados!$A$2:$A$11,F239)))&gt;0),"YA ESTÁ",IF(AND(F239&lt;&gt;"",COUNTIF($F$3:F239,F239)&gt;1),"REPETIDO","")))</f>
        <v/>
      </c>
      <c r="J239" s="8">
        <f>IF(OR(B239="",I239&lt;&gt;""),"",IF(MOD(COUNTIFS($B$3:B239,"&lt;&gt;",$I$3:I239,""),2)=1,"Carlos","Joaquín"))</f>
        <v/>
      </c>
      <c r="K239" s="11" t="n"/>
      <c r="L239" s="11" t="n"/>
      <c r="M239" s="11" t="n"/>
      <c r="N239" s="11" t="n"/>
      <c r="O239" s="11" t="n"/>
      <c r="P239" s="8">
        <f>IF(J239="","",IF(K239="Sale","Descartado",IF(L239="Sale","Descartado",IF(OR(M239="Q3",M239="Q4",M239="No aparece"),"Descartado",IF(N239="Sale","Descartado",IF(O239="Sigue","APROBADO","En proceso"))))))</f>
        <v/>
      </c>
    </row>
    <row r="240" ht="15" customHeight="1">
      <c r="A240" s="8">
        <f>IF(B240="","",ROW()-2)</f>
        <v/>
      </c>
      <c r="B240" s="9" t="n"/>
      <c r="C240" s="9" t="n"/>
      <c r="D240" s="12" t="n"/>
      <c r="E240" s="9" t="n"/>
      <c r="F240" s="9" t="n"/>
      <c r="G240" s="9" t="n"/>
      <c r="H240" s="12" t="n"/>
      <c r="I240" s="8">
        <f>IF(B240="","",IF(AND(F240&lt;&gt;"",SUMPRODUCT(--ISNUMBER(SEARCH(Preseleccionados!$A$2:$A$11,F240)))&gt;0),"YA ESTÁ",IF(AND(F240&lt;&gt;"",COUNTIF($F$3:F240,F240)&gt;1),"REPETIDO","")))</f>
        <v/>
      </c>
      <c r="J240" s="8">
        <f>IF(OR(B240="",I240&lt;&gt;""),"",IF(MOD(COUNTIFS($B$3:B240,"&lt;&gt;",$I$3:I240,""),2)=1,"Carlos","Joaquín"))</f>
        <v/>
      </c>
      <c r="K240" s="11" t="n"/>
      <c r="L240" s="11" t="n"/>
      <c r="M240" s="11" t="n"/>
      <c r="N240" s="11" t="n"/>
      <c r="O240" s="11" t="n"/>
      <c r="P240" s="8">
        <f>IF(J240="","",IF(K240="Sale","Descartado",IF(L240="Sale","Descartado",IF(OR(M240="Q3",M240="Q4",M240="No aparece"),"Descartado",IF(N240="Sale","Descartado",IF(O240="Sigue","APROBADO","En proceso"))))))</f>
        <v/>
      </c>
    </row>
    <row r="241" ht="15" customHeight="1">
      <c r="A241" s="8">
        <f>IF(B241="","",ROW()-2)</f>
        <v/>
      </c>
      <c r="B241" s="9" t="n"/>
      <c r="C241" s="9" t="n"/>
      <c r="D241" s="12" t="n"/>
      <c r="E241" s="9" t="n"/>
      <c r="F241" s="9" t="n"/>
      <c r="G241" s="9" t="n"/>
      <c r="H241" s="12" t="n"/>
      <c r="I241" s="8">
        <f>IF(B241="","",IF(AND(F241&lt;&gt;"",SUMPRODUCT(--ISNUMBER(SEARCH(Preseleccionados!$A$2:$A$11,F241)))&gt;0),"YA ESTÁ",IF(AND(F241&lt;&gt;"",COUNTIF($F$3:F241,F241)&gt;1),"REPETIDO","")))</f>
        <v/>
      </c>
      <c r="J241" s="8">
        <f>IF(OR(B241="",I241&lt;&gt;""),"",IF(MOD(COUNTIFS($B$3:B241,"&lt;&gt;",$I$3:I241,""),2)=1,"Carlos","Joaquín"))</f>
        <v/>
      </c>
      <c r="K241" s="11" t="n"/>
      <c r="L241" s="11" t="n"/>
      <c r="M241" s="11" t="n"/>
      <c r="N241" s="11" t="n"/>
      <c r="O241" s="11" t="n"/>
      <c r="P241" s="8">
        <f>IF(J241="","",IF(K241="Sale","Descartado",IF(L241="Sale","Descartado",IF(OR(M241="Q3",M241="Q4",M241="No aparece"),"Descartado",IF(N241="Sale","Descartado",IF(O241="Sigue","APROBADO","En proceso"))))))</f>
        <v/>
      </c>
    </row>
    <row r="242" ht="15" customHeight="1">
      <c r="A242" s="8">
        <f>IF(B242="","",ROW()-2)</f>
        <v/>
      </c>
      <c r="B242" s="9" t="n"/>
      <c r="C242" s="9" t="n"/>
      <c r="D242" s="12" t="n"/>
      <c r="E242" s="9" t="n"/>
      <c r="F242" s="9" t="n"/>
      <c r="G242" s="9" t="n"/>
      <c r="H242" s="12" t="n"/>
      <c r="I242" s="8">
        <f>IF(B242="","",IF(AND(F242&lt;&gt;"",SUMPRODUCT(--ISNUMBER(SEARCH(Preseleccionados!$A$2:$A$11,F242)))&gt;0),"YA ESTÁ",IF(AND(F242&lt;&gt;"",COUNTIF($F$3:F242,F242)&gt;1),"REPETIDO","")))</f>
        <v/>
      </c>
      <c r="J242" s="8">
        <f>IF(OR(B242="",I242&lt;&gt;""),"",IF(MOD(COUNTIFS($B$3:B242,"&lt;&gt;",$I$3:I242,""),2)=1,"Carlos","Joaquín"))</f>
        <v/>
      </c>
      <c r="K242" s="11" t="n"/>
      <c r="L242" s="11" t="n"/>
      <c r="M242" s="11" t="n"/>
      <c r="N242" s="11" t="n"/>
      <c r="O242" s="11" t="n"/>
      <c r="P242" s="8">
        <f>IF(J242="","",IF(K242="Sale","Descartado",IF(L242="Sale","Descartado",IF(OR(M242="Q3",M242="Q4",M242="No aparece"),"Descartado",IF(N242="Sale","Descartado",IF(O242="Sigue","APROBADO","En proceso"))))))</f>
        <v/>
      </c>
    </row>
    <row r="243" ht="15" customHeight="1">
      <c r="A243" s="8">
        <f>IF(B243="","",ROW()-2)</f>
        <v/>
      </c>
      <c r="B243" s="9" t="n"/>
      <c r="C243" s="9" t="n"/>
      <c r="D243" s="12" t="n"/>
      <c r="E243" s="9" t="n"/>
      <c r="F243" s="9" t="n"/>
      <c r="G243" s="9" t="n"/>
      <c r="H243" s="12" t="n"/>
      <c r="I243" s="8">
        <f>IF(B243="","",IF(AND(F243&lt;&gt;"",SUMPRODUCT(--ISNUMBER(SEARCH(Preseleccionados!$A$2:$A$11,F243)))&gt;0),"YA ESTÁ",IF(AND(F243&lt;&gt;"",COUNTIF($F$3:F243,F243)&gt;1),"REPETIDO","")))</f>
        <v/>
      </c>
      <c r="J243" s="8">
        <f>IF(OR(B243="",I243&lt;&gt;""),"",IF(MOD(COUNTIFS($B$3:B243,"&lt;&gt;",$I$3:I243,""),2)=1,"Carlos","Joaquín"))</f>
        <v/>
      </c>
      <c r="K243" s="11" t="n"/>
      <c r="L243" s="11" t="n"/>
      <c r="M243" s="11" t="n"/>
      <c r="N243" s="11" t="n"/>
      <c r="O243" s="11" t="n"/>
      <c r="P243" s="8">
        <f>IF(J243="","",IF(K243="Sale","Descartado",IF(L243="Sale","Descartado",IF(OR(M243="Q3",M243="Q4",M243="No aparece"),"Descartado",IF(N243="Sale","Descartado",IF(O243="Sigue","APROBADO","En proceso"))))))</f>
        <v/>
      </c>
    </row>
    <row r="244" ht="15" customHeight="1">
      <c r="A244" s="8">
        <f>IF(B244="","",ROW()-2)</f>
        <v/>
      </c>
      <c r="B244" s="9" t="n"/>
      <c r="C244" s="9" t="n"/>
      <c r="D244" s="12" t="n"/>
      <c r="E244" s="9" t="n"/>
      <c r="F244" s="9" t="n"/>
      <c r="G244" s="9" t="n"/>
      <c r="H244" s="12" t="n"/>
      <c r="I244" s="8">
        <f>IF(B244="","",IF(AND(F244&lt;&gt;"",SUMPRODUCT(--ISNUMBER(SEARCH(Preseleccionados!$A$2:$A$11,F244)))&gt;0),"YA ESTÁ",IF(AND(F244&lt;&gt;"",COUNTIF($F$3:F244,F244)&gt;1),"REPETIDO","")))</f>
        <v/>
      </c>
      <c r="J244" s="8">
        <f>IF(OR(B244="",I244&lt;&gt;""),"",IF(MOD(COUNTIFS($B$3:B244,"&lt;&gt;",$I$3:I244,""),2)=1,"Carlos","Joaquín"))</f>
        <v/>
      </c>
      <c r="K244" s="11" t="n"/>
      <c r="L244" s="11" t="n"/>
      <c r="M244" s="11" t="n"/>
      <c r="N244" s="11" t="n"/>
      <c r="O244" s="11" t="n"/>
      <c r="P244" s="8">
        <f>IF(J244="","",IF(K244="Sale","Descartado",IF(L244="Sale","Descartado",IF(OR(M244="Q3",M244="Q4",M244="No aparece"),"Descartado",IF(N244="Sale","Descartado",IF(O244="Sigue","APROBADO","En proceso"))))))</f>
        <v/>
      </c>
    </row>
    <row r="245" ht="15" customHeight="1">
      <c r="A245" s="8">
        <f>IF(B245="","",ROW()-2)</f>
        <v/>
      </c>
      <c r="B245" s="9" t="n"/>
      <c r="C245" s="9" t="n"/>
      <c r="D245" s="12" t="n"/>
      <c r="E245" s="9" t="n"/>
      <c r="F245" s="9" t="n"/>
      <c r="G245" s="9" t="n"/>
      <c r="H245" s="12" t="n"/>
      <c r="I245" s="8">
        <f>IF(B245="","",IF(AND(F245&lt;&gt;"",SUMPRODUCT(--ISNUMBER(SEARCH(Preseleccionados!$A$2:$A$11,F245)))&gt;0),"YA ESTÁ",IF(AND(F245&lt;&gt;"",COUNTIF($F$3:F245,F245)&gt;1),"REPETIDO","")))</f>
        <v/>
      </c>
      <c r="J245" s="8">
        <f>IF(OR(B245="",I245&lt;&gt;""),"",IF(MOD(COUNTIFS($B$3:B245,"&lt;&gt;",$I$3:I245,""),2)=1,"Carlos","Joaquín"))</f>
        <v/>
      </c>
      <c r="K245" s="11" t="n"/>
      <c r="L245" s="11" t="n"/>
      <c r="M245" s="11" t="n"/>
      <c r="N245" s="11" t="n"/>
      <c r="O245" s="11" t="n"/>
      <c r="P245" s="8">
        <f>IF(J245="","",IF(K245="Sale","Descartado",IF(L245="Sale","Descartado",IF(OR(M245="Q3",M245="Q4",M245="No aparece"),"Descartado",IF(N245="Sale","Descartado",IF(O245="Sigue","APROBADO","En proceso"))))))</f>
        <v/>
      </c>
    </row>
    <row r="246" ht="15" customHeight="1">
      <c r="A246" s="8">
        <f>IF(B246="","",ROW()-2)</f>
        <v/>
      </c>
      <c r="B246" s="9" t="n"/>
      <c r="C246" s="9" t="n"/>
      <c r="D246" s="12" t="n"/>
      <c r="E246" s="9" t="n"/>
      <c r="F246" s="9" t="n"/>
      <c r="G246" s="9" t="n"/>
      <c r="H246" s="12" t="n"/>
      <c r="I246" s="8">
        <f>IF(B246="","",IF(AND(F246&lt;&gt;"",SUMPRODUCT(--ISNUMBER(SEARCH(Preseleccionados!$A$2:$A$11,F246)))&gt;0),"YA ESTÁ",IF(AND(F246&lt;&gt;"",COUNTIF($F$3:F246,F246)&gt;1),"REPETIDO","")))</f>
        <v/>
      </c>
      <c r="J246" s="8">
        <f>IF(OR(B246="",I246&lt;&gt;""),"",IF(MOD(COUNTIFS($B$3:B246,"&lt;&gt;",$I$3:I246,""),2)=1,"Carlos","Joaquín"))</f>
        <v/>
      </c>
      <c r="K246" s="11" t="n"/>
      <c r="L246" s="11" t="n"/>
      <c r="M246" s="11" t="n"/>
      <c r="N246" s="11" t="n"/>
      <c r="O246" s="11" t="n"/>
      <c r="P246" s="8">
        <f>IF(J246="","",IF(K246="Sale","Descartado",IF(L246="Sale","Descartado",IF(OR(M246="Q3",M246="Q4",M246="No aparece"),"Descartado",IF(N246="Sale","Descartado",IF(O246="Sigue","APROBADO","En proceso"))))))</f>
        <v/>
      </c>
    </row>
    <row r="247" ht="15" customHeight="1">
      <c r="A247" s="8">
        <f>IF(B247="","",ROW()-2)</f>
        <v/>
      </c>
      <c r="B247" s="9" t="n"/>
      <c r="C247" s="9" t="n"/>
      <c r="D247" s="12" t="n"/>
      <c r="E247" s="9" t="n"/>
      <c r="F247" s="9" t="n"/>
      <c r="G247" s="9" t="n"/>
      <c r="H247" s="12" t="n"/>
      <c r="I247" s="8">
        <f>IF(B247="","",IF(AND(F247&lt;&gt;"",SUMPRODUCT(--ISNUMBER(SEARCH(Preseleccionados!$A$2:$A$11,F247)))&gt;0),"YA ESTÁ",IF(AND(F247&lt;&gt;"",COUNTIF($F$3:F247,F247)&gt;1),"REPETIDO","")))</f>
        <v/>
      </c>
      <c r="J247" s="8">
        <f>IF(OR(B247="",I247&lt;&gt;""),"",IF(MOD(COUNTIFS($B$3:B247,"&lt;&gt;",$I$3:I247,""),2)=1,"Carlos","Joaquín"))</f>
        <v/>
      </c>
      <c r="K247" s="11" t="n"/>
      <c r="L247" s="11" t="n"/>
      <c r="M247" s="11" t="n"/>
      <c r="N247" s="11" t="n"/>
      <c r="O247" s="11" t="n"/>
      <c r="P247" s="8">
        <f>IF(J247="","",IF(K247="Sale","Descartado",IF(L247="Sale","Descartado",IF(OR(M247="Q3",M247="Q4",M247="No aparece"),"Descartado",IF(N247="Sale","Descartado",IF(O247="Sigue","APROBADO","En proceso"))))))</f>
        <v/>
      </c>
    </row>
    <row r="248" ht="15" customHeight="1">
      <c r="A248" s="8">
        <f>IF(B248="","",ROW()-2)</f>
        <v/>
      </c>
      <c r="B248" s="9" t="n"/>
      <c r="C248" s="9" t="n"/>
      <c r="D248" s="12" t="n"/>
      <c r="E248" s="9" t="n"/>
      <c r="F248" s="9" t="n"/>
      <c r="G248" s="9" t="n"/>
      <c r="H248" s="12" t="n"/>
      <c r="I248" s="8">
        <f>IF(B248="","",IF(AND(F248&lt;&gt;"",SUMPRODUCT(--ISNUMBER(SEARCH(Preseleccionados!$A$2:$A$11,F248)))&gt;0),"YA ESTÁ",IF(AND(F248&lt;&gt;"",COUNTIF($F$3:F248,F248)&gt;1),"REPETIDO","")))</f>
        <v/>
      </c>
      <c r="J248" s="8">
        <f>IF(OR(B248="",I248&lt;&gt;""),"",IF(MOD(COUNTIFS($B$3:B248,"&lt;&gt;",$I$3:I248,""),2)=1,"Carlos","Joaquín"))</f>
        <v/>
      </c>
      <c r="K248" s="11" t="n"/>
      <c r="L248" s="11" t="n"/>
      <c r="M248" s="11" t="n"/>
      <c r="N248" s="11" t="n"/>
      <c r="O248" s="11" t="n"/>
      <c r="P248" s="8">
        <f>IF(J248="","",IF(K248="Sale","Descartado",IF(L248="Sale","Descartado",IF(OR(M248="Q3",M248="Q4",M248="No aparece"),"Descartado",IF(N248="Sale","Descartado",IF(O248="Sigue","APROBADO","En proceso"))))))</f>
        <v/>
      </c>
    </row>
    <row r="249" ht="15" customHeight="1">
      <c r="A249" s="8">
        <f>IF(B249="","",ROW()-2)</f>
        <v/>
      </c>
      <c r="B249" s="9" t="n"/>
      <c r="C249" s="9" t="n"/>
      <c r="D249" s="12" t="n"/>
      <c r="E249" s="9" t="n"/>
      <c r="F249" s="9" t="n"/>
      <c r="G249" s="9" t="n"/>
      <c r="H249" s="12" t="n"/>
      <c r="I249" s="8">
        <f>IF(B249="","",IF(AND(F249&lt;&gt;"",SUMPRODUCT(--ISNUMBER(SEARCH(Preseleccionados!$A$2:$A$11,F249)))&gt;0),"YA ESTÁ",IF(AND(F249&lt;&gt;"",COUNTIF($F$3:F249,F249)&gt;1),"REPETIDO","")))</f>
        <v/>
      </c>
      <c r="J249" s="8">
        <f>IF(OR(B249="",I249&lt;&gt;""),"",IF(MOD(COUNTIFS($B$3:B249,"&lt;&gt;",$I$3:I249,""),2)=1,"Carlos","Joaquín"))</f>
        <v/>
      </c>
      <c r="K249" s="11" t="n"/>
      <c r="L249" s="11" t="n"/>
      <c r="M249" s="11" t="n"/>
      <c r="N249" s="11" t="n"/>
      <c r="O249" s="11" t="n"/>
      <c r="P249" s="8">
        <f>IF(J249="","",IF(K249="Sale","Descartado",IF(L249="Sale","Descartado",IF(OR(M249="Q3",M249="Q4",M249="No aparece"),"Descartado",IF(N249="Sale","Descartado",IF(O249="Sigue","APROBADO","En proceso"))))))</f>
        <v/>
      </c>
    </row>
    <row r="250" ht="15" customHeight="1">
      <c r="A250" s="8">
        <f>IF(B250="","",ROW()-2)</f>
        <v/>
      </c>
      <c r="B250" s="9" t="n"/>
      <c r="C250" s="9" t="n"/>
      <c r="D250" s="12" t="n"/>
      <c r="E250" s="9" t="n"/>
      <c r="F250" s="9" t="n"/>
      <c r="G250" s="9" t="n"/>
      <c r="H250" s="12" t="n"/>
      <c r="I250" s="8">
        <f>IF(B250="","",IF(AND(F250&lt;&gt;"",SUMPRODUCT(--ISNUMBER(SEARCH(Preseleccionados!$A$2:$A$11,F250)))&gt;0),"YA ESTÁ",IF(AND(F250&lt;&gt;"",COUNTIF($F$3:F250,F250)&gt;1),"REPETIDO","")))</f>
        <v/>
      </c>
      <c r="J250" s="8">
        <f>IF(OR(B250="",I250&lt;&gt;""),"",IF(MOD(COUNTIFS($B$3:B250,"&lt;&gt;",$I$3:I250,""),2)=1,"Carlos","Joaquín"))</f>
        <v/>
      </c>
      <c r="K250" s="11" t="n"/>
      <c r="L250" s="11" t="n"/>
      <c r="M250" s="11" t="n"/>
      <c r="N250" s="11" t="n"/>
      <c r="O250" s="11" t="n"/>
      <c r="P250" s="8">
        <f>IF(J250="","",IF(K250="Sale","Descartado",IF(L250="Sale","Descartado",IF(OR(M250="Q3",M250="Q4",M250="No aparece"),"Descartado",IF(N250="Sale","Descartado",IF(O250="Sigue","APROBADO","En proceso"))))))</f>
        <v/>
      </c>
    </row>
    <row r="251" ht="15" customHeight="1">
      <c r="A251" s="8">
        <f>IF(B251="","",ROW()-2)</f>
        <v/>
      </c>
      <c r="B251" s="9" t="n"/>
      <c r="C251" s="9" t="n"/>
      <c r="D251" s="12" t="n"/>
      <c r="E251" s="9" t="n"/>
      <c r="F251" s="9" t="n"/>
      <c r="G251" s="9" t="n"/>
      <c r="H251" s="12" t="n"/>
      <c r="I251" s="8">
        <f>IF(B251="","",IF(AND(F251&lt;&gt;"",SUMPRODUCT(--ISNUMBER(SEARCH(Preseleccionados!$A$2:$A$11,F251)))&gt;0),"YA ESTÁ",IF(AND(F251&lt;&gt;"",COUNTIF($F$3:F251,F251)&gt;1),"REPETIDO","")))</f>
        <v/>
      </c>
      <c r="J251" s="8">
        <f>IF(OR(B251="",I251&lt;&gt;""),"",IF(MOD(COUNTIFS($B$3:B251,"&lt;&gt;",$I$3:I251,""),2)=1,"Carlos","Joaquín"))</f>
        <v/>
      </c>
      <c r="K251" s="11" t="n"/>
      <c r="L251" s="11" t="n"/>
      <c r="M251" s="11" t="n"/>
      <c r="N251" s="11" t="n"/>
      <c r="O251" s="11" t="n"/>
      <c r="P251" s="8">
        <f>IF(J251="","",IF(K251="Sale","Descartado",IF(L251="Sale","Descartado",IF(OR(M251="Q3",M251="Q4",M251="No aparece"),"Descartado",IF(N251="Sale","Descartado",IF(O251="Sigue","APROBADO","En proceso"))))))</f>
        <v/>
      </c>
    </row>
    <row r="252" ht="15" customHeight="1">
      <c r="A252" s="8">
        <f>IF(B252="","",ROW()-2)</f>
        <v/>
      </c>
      <c r="B252" s="9" t="n"/>
      <c r="C252" s="9" t="n"/>
      <c r="D252" s="12" t="n"/>
      <c r="E252" s="9" t="n"/>
      <c r="F252" s="9" t="n"/>
      <c r="G252" s="9" t="n"/>
      <c r="H252" s="12" t="n"/>
      <c r="I252" s="8">
        <f>IF(B252="","",IF(AND(F252&lt;&gt;"",SUMPRODUCT(--ISNUMBER(SEARCH(Preseleccionados!$A$2:$A$11,F252)))&gt;0),"YA ESTÁ",IF(AND(F252&lt;&gt;"",COUNTIF($F$3:F252,F252)&gt;1),"REPETIDO","")))</f>
        <v/>
      </c>
      <c r="J252" s="8">
        <f>IF(OR(B252="",I252&lt;&gt;""),"",IF(MOD(COUNTIFS($B$3:B252,"&lt;&gt;",$I$3:I252,""),2)=1,"Carlos","Joaquín"))</f>
        <v/>
      </c>
      <c r="K252" s="11" t="n"/>
      <c r="L252" s="11" t="n"/>
      <c r="M252" s="11" t="n"/>
      <c r="N252" s="11" t="n"/>
      <c r="O252" s="11" t="n"/>
      <c r="P252" s="8">
        <f>IF(J252="","",IF(K252="Sale","Descartado",IF(L252="Sale","Descartado",IF(OR(M252="Q3",M252="Q4",M252="No aparece"),"Descartado",IF(N252="Sale","Descartado",IF(O252="Sigue","APROBADO","En proceso"))))))</f>
        <v/>
      </c>
    </row>
    <row r="253" ht="15" customHeight="1">
      <c r="A253" s="8">
        <f>IF(B253="","",ROW()-2)</f>
        <v/>
      </c>
      <c r="B253" s="9" t="n"/>
      <c r="C253" s="9" t="n"/>
      <c r="D253" s="12" t="n"/>
      <c r="E253" s="9" t="n"/>
      <c r="F253" s="9" t="n"/>
      <c r="G253" s="9" t="n"/>
      <c r="H253" s="12" t="n"/>
      <c r="I253" s="8">
        <f>IF(B253="","",IF(AND(F253&lt;&gt;"",SUMPRODUCT(--ISNUMBER(SEARCH(Preseleccionados!$A$2:$A$11,F253)))&gt;0),"YA ESTÁ",IF(AND(F253&lt;&gt;"",COUNTIF($F$3:F253,F253)&gt;1),"REPETIDO","")))</f>
        <v/>
      </c>
      <c r="J253" s="8">
        <f>IF(OR(B253="",I253&lt;&gt;""),"",IF(MOD(COUNTIFS($B$3:B253,"&lt;&gt;",$I$3:I253,""),2)=1,"Carlos","Joaquín"))</f>
        <v/>
      </c>
      <c r="K253" s="11" t="n"/>
      <c r="L253" s="11" t="n"/>
      <c r="M253" s="11" t="n"/>
      <c r="N253" s="11" t="n"/>
      <c r="O253" s="11" t="n"/>
      <c r="P253" s="8">
        <f>IF(J253="","",IF(K253="Sale","Descartado",IF(L253="Sale","Descartado",IF(OR(M253="Q3",M253="Q4",M253="No aparece"),"Descartado",IF(N253="Sale","Descartado",IF(O253="Sigue","APROBADO","En proceso"))))))</f>
        <v/>
      </c>
    </row>
    <row r="254" ht="15" customHeight="1">
      <c r="A254" s="8">
        <f>IF(B254="","",ROW()-2)</f>
        <v/>
      </c>
      <c r="B254" s="9" t="n"/>
      <c r="C254" s="9" t="n"/>
      <c r="D254" s="12" t="n"/>
      <c r="E254" s="9" t="n"/>
      <c r="F254" s="9" t="n"/>
      <c r="G254" s="9" t="n"/>
      <c r="H254" s="12" t="n"/>
      <c r="I254" s="8">
        <f>IF(B254="","",IF(AND(F254&lt;&gt;"",SUMPRODUCT(--ISNUMBER(SEARCH(Preseleccionados!$A$2:$A$11,F254)))&gt;0),"YA ESTÁ",IF(AND(F254&lt;&gt;"",COUNTIF($F$3:F254,F254)&gt;1),"REPETIDO","")))</f>
        <v/>
      </c>
      <c r="J254" s="8">
        <f>IF(OR(B254="",I254&lt;&gt;""),"",IF(MOD(COUNTIFS($B$3:B254,"&lt;&gt;",$I$3:I254,""),2)=1,"Carlos","Joaquín"))</f>
        <v/>
      </c>
      <c r="K254" s="11" t="n"/>
      <c r="L254" s="11" t="n"/>
      <c r="M254" s="11" t="n"/>
      <c r="N254" s="11" t="n"/>
      <c r="O254" s="11" t="n"/>
      <c r="P254" s="8">
        <f>IF(J254="","",IF(K254="Sale","Descartado",IF(L254="Sale","Descartado",IF(OR(M254="Q3",M254="Q4",M254="No aparece"),"Descartado",IF(N254="Sale","Descartado",IF(O254="Sigue","APROBADO","En proceso"))))))</f>
        <v/>
      </c>
    </row>
    <row r="255" ht="15" customHeight="1">
      <c r="A255" s="8">
        <f>IF(B255="","",ROW()-2)</f>
        <v/>
      </c>
      <c r="B255" s="9" t="n"/>
      <c r="C255" s="9" t="n"/>
      <c r="D255" s="12" t="n"/>
      <c r="E255" s="9" t="n"/>
      <c r="F255" s="9" t="n"/>
      <c r="G255" s="9" t="n"/>
      <c r="H255" s="12" t="n"/>
      <c r="I255" s="8">
        <f>IF(B255="","",IF(AND(F255&lt;&gt;"",SUMPRODUCT(--ISNUMBER(SEARCH(Preseleccionados!$A$2:$A$11,F255)))&gt;0),"YA ESTÁ",IF(AND(F255&lt;&gt;"",COUNTIF($F$3:F255,F255)&gt;1),"REPETIDO","")))</f>
        <v/>
      </c>
      <c r="J255" s="8">
        <f>IF(OR(B255="",I255&lt;&gt;""),"",IF(MOD(COUNTIFS($B$3:B255,"&lt;&gt;",$I$3:I255,""),2)=1,"Carlos","Joaquín"))</f>
        <v/>
      </c>
      <c r="K255" s="11" t="n"/>
      <c r="L255" s="11" t="n"/>
      <c r="M255" s="11" t="n"/>
      <c r="N255" s="11" t="n"/>
      <c r="O255" s="11" t="n"/>
      <c r="P255" s="8">
        <f>IF(J255="","",IF(K255="Sale","Descartado",IF(L255="Sale","Descartado",IF(OR(M255="Q3",M255="Q4",M255="No aparece"),"Descartado",IF(N255="Sale","Descartado",IF(O255="Sigue","APROBADO","En proceso"))))))</f>
        <v/>
      </c>
    </row>
    <row r="256" ht="15" customHeight="1">
      <c r="A256" s="8">
        <f>IF(B256="","",ROW()-2)</f>
        <v/>
      </c>
      <c r="B256" s="9" t="n"/>
      <c r="C256" s="9" t="n"/>
      <c r="D256" s="12" t="n"/>
      <c r="E256" s="9" t="n"/>
      <c r="F256" s="9" t="n"/>
      <c r="G256" s="9" t="n"/>
      <c r="H256" s="12" t="n"/>
      <c r="I256" s="8">
        <f>IF(B256="","",IF(AND(F256&lt;&gt;"",SUMPRODUCT(--ISNUMBER(SEARCH(Preseleccionados!$A$2:$A$11,F256)))&gt;0),"YA ESTÁ",IF(AND(F256&lt;&gt;"",COUNTIF($F$3:F256,F256)&gt;1),"REPETIDO","")))</f>
        <v/>
      </c>
      <c r="J256" s="8">
        <f>IF(OR(B256="",I256&lt;&gt;""),"",IF(MOD(COUNTIFS($B$3:B256,"&lt;&gt;",$I$3:I256,""),2)=1,"Carlos","Joaquín"))</f>
        <v/>
      </c>
      <c r="K256" s="11" t="n"/>
      <c r="L256" s="11" t="n"/>
      <c r="M256" s="11" t="n"/>
      <c r="N256" s="11" t="n"/>
      <c r="O256" s="11" t="n"/>
      <c r="P256" s="8">
        <f>IF(J256="","",IF(K256="Sale","Descartado",IF(L256="Sale","Descartado",IF(OR(M256="Q3",M256="Q4",M256="No aparece"),"Descartado",IF(N256="Sale","Descartado",IF(O256="Sigue","APROBADO","En proceso"))))))</f>
        <v/>
      </c>
    </row>
    <row r="257" ht="15" customHeight="1">
      <c r="A257" s="8">
        <f>IF(B257="","",ROW()-2)</f>
        <v/>
      </c>
      <c r="B257" s="9" t="n"/>
      <c r="C257" s="9" t="n"/>
      <c r="D257" s="12" t="n"/>
      <c r="E257" s="9" t="n"/>
      <c r="F257" s="9" t="n"/>
      <c r="G257" s="9" t="n"/>
      <c r="H257" s="12" t="n"/>
      <c r="I257" s="8">
        <f>IF(B257="","",IF(AND(F257&lt;&gt;"",SUMPRODUCT(--ISNUMBER(SEARCH(Preseleccionados!$A$2:$A$11,F257)))&gt;0),"YA ESTÁ",IF(AND(F257&lt;&gt;"",COUNTIF($F$3:F257,F257)&gt;1),"REPETIDO","")))</f>
        <v/>
      </c>
      <c r="J257" s="8">
        <f>IF(OR(B257="",I257&lt;&gt;""),"",IF(MOD(COUNTIFS($B$3:B257,"&lt;&gt;",$I$3:I257,""),2)=1,"Carlos","Joaquín"))</f>
        <v/>
      </c>
      <c r="K257" s="11" t="n"/>
      <c r="L257" s="11" t="n"/>
      <c r="M257" s="11" t="n"/>
      <c r="N257" s="11" t="n"/>
      <c r="O257" s="11" t="n"/>
      <c r="P257" s="8">
        <f>IF(J257="","",IF(K257="Sale","Descartado",IF(L257="Sale","Descartado",IF(OR(M257="Q3",M257="Q4",M257="No aparece"),"Descartado",IF(N257="Sale","Descartado",IF(O257="Sigue","APROBADO","En proceso"))))))</f>
        <v/>
      </c>
    </row>
    <row r="258" ht="15" customHeight="1">
      <c r="A258" s="8">
        <f>IF(B258="","",ROW()-2)</f>
        <v/>
      </c>
      <c r="B258" s="9" t="n"/>
      <c r="C258" s="9" t="n"/>
      <c r="D258" s="12" t="n"/>
      <c r="E258" s="9" t="n"/>
      <c r="F258" s="9" t="n"/>
      <c r="G258" s="9" t="n"/>
      <c r="H258" s="12" t="n"/>
      <c r="I258" s="8">
        <f>IF(B258="","",IF(AND(F258&lt;&gt;"",SUMPRODUCT(--ISNUMBER(SEARCH(Preseleccionados!$A$2:$A$11,F258)))&gt;0),"YA ESTÁ",IF(AND(F258&lt;&gt;"",COUNTIF($F$3:F258,F258)&gt;1),"REPETIDO","")))</f>
        <v/>
      </c>
      <c r="J258" s="8">
        <f>IF(OR(B258="",I258&lt;&gt;""),"",IF(MOD(COUNTIFS($B$3:B258,"&lt;&gt;",$I$3:I258,""),2)=1,"Carlos","Joaquín"))</f>
        <v/>
      </c>
      <c r="K258" s="11" t="n"/>
      <c r="L258" s="11" t="n"/>
      <c r="M258" s="11" t="n"/>
      <c r="N258" s="11" t="n"/>
      <c r="O258" s="11" t="n"/>
      <c r="P258" s="8">
        <f>IF(J258="","",IF(K258="Sale","Descartado",IF(L258="Sale","Descartado",IF(OR(M258="Q3",M258="Q4",M258="No aparece"),"Descartado",IF(N258="Sale","Descartado",IF(O258="Sigue","APROBADO","En proceso"))))))</f>
        <v/>
      </c>
    </row>
    <row r="259" ht="15" customHeight="1">
      <c r="A259" s="8">
        <f>IF(B259="","",ROW()-2)</f>
        <v/>
      </c>
      <c r="B259" s="9" t="n"/>
      <c r="C259" s="9" t="n"/>
      <c r="D259" s="12" t="n"/>
      <c r="E259" s="9" t="n"/>
      <c r="F259" s="9" t="n"/>
      <c r="G259" s="9" t="n"/>
      <c r="H259" s="12" t="n"/>
      <c r="I259" s="8">
        <f>IF(B259="","",IF(AND(F259&lt;&gt;"",SUMPRODUCT(--ISNUMBER(SEARCH(Preseleccionados!$A$2:$A$11,F259)))&gt;0),"YA ESTÁ",IF(AND(F259&lt;&gt;"",COUNTIF($F$3:F259,F259)&gt;1),"REPETIDO","")))</f>
        <v/>
      </c>
      <c r="J259" s="8">
        <f>IF(OR(B259="",I259&lt;&gt;""),"",IF(MOD(COUNTIFS($B$3:B259,"&lt;&gt;",$I$3:I259,""),2)=1,"Carlos","Joaquín"))</f>
        <v/>
      </c>
      <c r="K259" s="11" t="n"/>
      <c r="L259" s="11" t="n"/>
      <c r="M259" s="11" t="n"/>
      <c r="N259" s="11" t="n"/>
      <c r="O259" s="11" t="n"/>
      <c r="P259" s="8">
        <f>IF(J259="","",IF(K259="Sale","Descartado",IF(L259="Sale","Descartado",IF(OR(M259="Q3",M259="Q4",M259="No aparece"),"Descartado",IF(N259="Sale","Descartado",IF(O259="Sigue","APROBADO","En proceso"))))))</f>
        <v/>
      </c>
    </row>
    <row r="260" ht="15" customHeight="1">
      <c r="A260" s="8">
        <f>IF(B260="","",ROW()-2)</f>
        <v/>
      </c>
      <c r="B260" s="9" t="n"/>
      <c r="C260" s="9" t="n"/>
      <c r="D260" s="12" t="n"/>
      <c r="E260" s="9" t="n"/>
      <c r="F260" s="9" t="n"/>
      <c r="G260" s="9" t="n"/>
      <c r="H260" s="12" t="n"/>
      <c r="I260" s="8">
        <f>IF(B260="","",IF(AND(F260&lt;&gt;"",SUMPRODUCT(--ISNUMBER(SEARCH(Preseleccionados!$A$2:$A$11,F260)))&gt;0),"YA ESTÁ",IF(AND(F260&lt;&gt;"",COUNTIF($F$3:F260,F260)&gt;1),"REPETIDO","")))</f>
        <v/>
      </c>
      <c r="J260" s="8">
        <f>IF(OR(B260="",I260&lt;&gt;""),"",IF(MOD(COUNTIFS($B$3:B260,"&lt;&gt;",$I$3:I260,""),2)=1,"Carlos","Joaquín"))</f>
        <v/>
      </c>
      <c r="K260" s="11" t="n"/>
      <c r="L260" s="11" t="n"/>
      <c r="M260" s="11" t="n"/>
      <c r="N260" s="11" t="n"/>
      <c r="O260" s="11" t="n"/>
      <c r="P260" s="8">
        <f>IF(J260="","",IF(K260="Sale","Descartado",IF(L260="Sale","Descartado",IF(OR(M260="Q3",M260="Q4",M260="No aparece"),"Descartado",IF(N260="Sale","Descartado",IF(O260="Sigue","APROBADO","En proceso"))))))</f>
        <v/>
      </c>
    </row>
    <row r="261" ht="15" customHeight="1">
      <c r="A261" s="8">
        <f>IF(B261="","",ROW()-2)</f>
        <v/>
      </c>
      <c r="B261" s="9" t="n"/>
      <c r="C261" s="9" t="n"/>
      <c r="D261" s="12" t="n"/>
      <c r="E261" s="9" t="n"/>
      <c r="F261" s="9" t="n"/>
      <c r="G261" s="9" t="n"/>
      <c r="H261" s="12" t="n"/>
      <c r="I261" s="8">
        <f>IF(B261="","",IF(AND(F261&lt;&gt;"",SUMPRODUCT(--ISNUMBER(SEARCH(Preseleccionados!$A$2:$A$11,F261)))&gt;0),"YA ESTÁ",IF(AND(F261&lt;&gt;"",COUNTIF($F$3:F261,F261)&gt;1),"REPETIDO","")))</f>
        <v/>
      </c>
      <c r="J261" s="8">
        <f>IF(OR(B261="",I261&lt;&gt;""),"",IF(MOD(COUNTIFS($B$3:B261,"&lt;&gt;",$I$3:I261,""),2)=1,"Carlos","Joaquín"))</f>
        <v/>
      </c>
      <c r="K261" s="11" t="n"/>
      <c r="L261" s="11" t="n"/>
      <c r="M261" s="11" t="n"/>
      <c r="N261" s="11" t="n"/>
      <c r="O261" s="11" t="n"/>
      <c r="P261" s="8">
        <f>IF(J261="","",IF(K261="Sale","Descartado",IF(L261="Sale","Descartado",IF(OR(M261="Q3",M261="Q4",M261="No aparece"),"Descartado",IF(N261="Sale","Descartado",IF(O261="Sigue","APROBADO","En proceso"))))))</f>
        <v/>
      </c>
    </row>
    <row r="262" ht="15" customHeight="1">
      <c r="A262" s="8">
        <f>IF(B262="","",ROW()-2)</f>
        <v/>
      </c>
      <c r="B262" s="9" t="n"/>
      <c r="C262" s="9" t="n"/>
      <c r="D262" s="12" t="n"/>
      <c r="E262" s="9" t="n"/>
      <c r="F262" s="9" t="n"/>
      <c r="G262" s="9" t="n"/>
      <c r="H262" s="12" t="n"/>
      <c r="I262" s="8">
        <f>IF(B262="","",IF(AND(F262&lt;&gt;"",SUMPRODUCT(--ISNUMBER(SEARCH(Preseleccionados!$A$2:$A$11,F262)))&gt;0),"YA ESTÁ",IF(AND(F262&lt;&gt;"",COUNTIF($F$3:F262,F262)&gt;1),"REPETIDO","")))</f>
        <v/>
      </c>
      <c r="J262" s="8">
        <f>IF(OR(B262="",I262&lt;&gt;""),"",IF(MOD(COUNTIFS($B$3:B262,"&lt;&gt;",$I$3:I262,""),2)=1,"Carlos","Joaquín"))</f>
        <v/>
      </c>
      <c r="K262" s="11" t="n"/>
      <c r="L262" s="11" t="n"/>
      <c r="M262" s="11" t="n"/>
      <c r="N262" s="11" t="n"/>
      <c r="O262" s="11" t="n"/>
      <c r="P262" s="8">
        <f>IF(J262="","",IF(K262="Sale","Descartado",IF(L262="Sale","Descartado",IF(OR(M262="Q3",M262="Q4",M262="No aparece"),"Descartado",IF(N262="Sale","Descartado",IF(O262="Sigue","APROBADO","En proceso"))))))</f>
        <v/>
      </c>
    </row>
    <row r="263" ht="15" customHeight="1">
      <c r="A263" s="8">
        <f>IF(B263="","",ROW()-2)</f>
        <v/>
      </c>
      <c r="B263" s="9" t="n"/>
      <c r="C263" s="9" t="n"/>
      <c r="D263" s="12" t="n"/>
      <c r="E263" s="9" t="n"/>
      <c r="F263" s="9" t="n"/>
      <c r="G263" s="9" t="n"/>
      <c r="H263" s="12" t="n"/>
      <c r="I263" s="8">
        <f>IF(B263="","",IF(AND(F263&lt;&gt;"",SUMPRODUCT(--ISNUMBER(SEARCH(Preseleccionados!$A$2:$A$11,F263)))&gt;0),"YA ESTÁ",IF(AND(F263&lt;&gt;"",COUNTIF($F$3:F263,F263)&gt;1),"REPETIDO","")))</f>
        <v/>
      </c>
      <c r="J263" s="8">
        <f>IF(OR(B263="",I263&lt;&gt;""),"",IF(MOD(COUNTIFS($B$3:B263,"&lt;&gt;",$I$3:I263,""),2)=1,"Carlos","Joaquín"))</f>
        <v/>
      </c>
      <c r="K263" s="11" t="n"/>
      <c r="L263" s="11" t="n"/>
      <c r="M263" s="11" t="n"/>
      <c r="N263" s="11" t="n"/>
      <c r="O263" s="11" t="n"/>
      <c r="P263" s="8">
        <f>IF(J263="","",IF(K263="Sale","Descartado",IF(L263="Sale","Descartado",IF(OR(M263="Q3",M263="Q4",M263="No aparece"),"Descartado",IF(N263="Sale","Descartado",IF(O263="Sigue","APROBADO","En proceso"))))))</f>
        <v/>
      </c>
    </row>
    <row r="264" ht="15" customHeight="1">
      <c r="A264" s="8">
        <f>IF(B264="","",ROW()-2)</f>
        <v/>
      </c>
      <c r="B264" s="9" t="n"/>
      <c r="C264" s="9" t="n"/>
      <c r="D264" s="12" t="n"/>
      <c r="E264" s="9" t="n"/>
      <c r="F264" s="9" t="n"/>
      <c r="G264" s="9" t="n"/>
      <c r="H264" s="12" t="n"/>
      <c r="I264" s="8">
        <f>IF(B264="","",IF(AND(F264&lt;&gt;"",SUMPRODUCT(--ISNUMBER(SEARCH(Preseleccionados!$A$2:$A$11,F264)))&gt;0),"YA ESTÁ",IF(AND(F264&lt;&gt;"",COUNTIF($F$3:F264,F264)&gt;1),"REPETIDO","")))</f>
        <v/>
      </c>
      <c r="J264" s="8">
        <f>IF(OR(B264="",I264&lt;&gt;""),"",IF(MOD(COUNTIFS($B$3:B264,"&lt;&gt;",$I$3:I264,""),2)=1,"Carlos","Joaquín"))</f>
        <v/>
      </c>
      <c r="K264" s="11" t="n"/>
      <c r="L264" s="11" t="n"/>
      <c r="M264" s="11" t="n"/>
      <c r="N264" s="11" t="n"/>
      <c r="O264" s="11" t="n"/>
      <c r="P264" s="8">
        <f>IF(J264="","",IF(K264="Sale","Descartado",IF(L264="Sale","Descartado",IF(OR(M264="Q3",M264="Q4",M264="No aparece"),"Descartado",IF(N264="Sale","Descartado",IF(O264="Sigue","APROBADO","En proceso"))))))</f>
        <v/>
      </c>
    </row>
    <row r="265" ht="15" customHeight="1">
      <c r="A265" s="8">
        <f>IF(B265="","",ROW()-2)</f>
        <v/>
      </c>
      <c r="B265" s="9" t="n"/>
      <c r="C265" s="9" t="n"/>
      <c r="D265" s="12" t="n"/>
      <c r="E265" s="9" t="n"/>
      <c r="F265" s="9" t="n"/>
      <c r="G265" s="9" t="n"/>
      <c r="H265" s="12" t="n"/>
      <c r="I265" s="8">
        <f>IF(B265="","",IF(AND(F265&lt;&gt;"",SUMPRODUCT(--ISNUMBER(SEARCH(Preseleccionados!$A$2:$A$11,F265)))&gt;0),"YA ESTÁ",IF(AND(F265&lt;&gt;"",COUNTIF($F$3:F265,F265)&gt;1),"REPETIDO","")))</f>
        <v/>
      </c>
      <c r="J265" s="8">
        <f>IF(OR(B265="",I265&lt;&gt;""),"",IF(MOD(COUNTIFS($B$3:B265,"&lt;&gt;",$I$3:I265,""),2)=1,"Carlos","Joaquín"))</f>
        <v/>
      </c>
      <c r="K265" s="11" t="n"/>
      <c r="L265" s="11" t="n"/>
      <c r="M265" s="11" t="n"/>
      <c r="N265" s="11" t="n"/>
      <c r="O265" s="11" t="n"/>
      <c r="P265" s="8">
        <f>IF(J265="","",IF(K265="Sale","Descartado",IF(L265="Sale","Descartado",IF(OR(M265="Q3",M265="Q4",M265="No aparece"),"Descartado",IF(N265="Sale","Descartado",IF(O265="Sigue","APROBADO","En proceso"))))))</f>
        <v/>
      </c>
    </row>
    <row r="266" ht="15" customHeight="1">
      <c r="A266" s="8">
        <f>IF(B266="","",ROW()-2)</f>
        <v/>
      </c>
      <c r="B266" s="9" t="n"/>
      <c r="C266" s="9" t="n"/>
      <c r="D266" s="12" t="n"/>
      <c r="E266" s="9" t="n"/>
      <c r="F266" s="9" t="n"/>
      <c r="G266" s="9" t="n"/>
      <c r="H266" s="12" t="n"/>
      <c r="I266" s="8">
        <f>IF(B266="","",IF(AND(F266&lt;&gt;"",SUMPRODUCT(--ISNUMBER(SEARCH(Preseleccionados!$A$2:$A$11,F266)))&gt;0),"YA ESTÁ",IF(AND(F266&lt;&gt;"",COUNTIF($F$3:F266,F266)&gt;1),"REPETIDO","")))</f>
        <v/>
      </c>
      <c r="J266" s="8">
        <f>IF(OR(B266="",I266&lt;&gt;""),"",IF(MOD(COUNTIFS($B$3:B266,"&lt;&gt;",$I$3:I266,""),2)=1,"Carlos","Joaquín"))</f>
        <v/>
      </c>
      <c r="K266" s="11" t="n"/>
      <c r="L266" s="11" t="n"/>
      <c r="M266" s="11" t="n"/>
      <c r="N266" s="11" t="n"/>
      <c r="O266" s="11" t="n"/>
      <c r="P266" s="8">
        <f>IF(J266="","",IF(K266="Sale","Descartado",IF(L266="Sale","Descartado",IF(OR(M266="Q3",M266="Q4",M266="No aparece"),"Descartado",IF(N266="Sale","Descartado",IF(O266="Sigue","APROBADO","En proceso"))))))</f>
        <v/>
      </c>
    </row>
    <row r="267" ht="15" customHeight="1">
      <c r="A267" s="8">
        <f>IF(B267="","",ROW()-2)</f>
        <v/>
      </c>
      <c r="B267" s="9" t="n"/>
      <c r="C267" s="9" t="n"/>
      <c r="D267" s="12" t="n"/>
      <c r="E267" s="9" t="n"/>
      <c r="F267" s="9" t="n"/>
      <c r="G267" s="9" t="n"/>
      <c r="H267" s="12" t="n"/>
      <c r="I267" s="8">
        <f>IF(B267="","",IF(AND(F267&lt;&gt;"",SUMPRODUCT(--ISNUMBER(SEARCH(Preseleccionados!$A$2:$A$11,F267)))&gt;0),"YA ESTÁ",IF(AND(F267&lt;&gt;"",COUNTIF($F$3:F267,F267)&gt;1),"REPETIDO","")))</f>
        <v/>
      </c>
      <c r="J267" s="8">
        <f>IF(OR(B267="",I267&lt;&gt;""),"",IF(MOD(COUNTIFS($B$3:B267,"&lt;&gt;",$I$3:I267,""),2)=1,"Carlos","Joaquín"))</f>
        <v/>
      </c>
      <c r="K267" s="11" t="n"/>
      <c r="L267" s="11" t="n"/>
      <c r="M267" s="11" t="n"/>
      <c r="N267" s="11" t="n"/>
      <c r="O267" s="11" t="n"/>
      <c r="P267" s="8">
        <f>IF(J267="","",IF(K267="Sale","Descartado",IF(L267="Sale","Descartado",IF(OR(M267="Q3",M267="Q4",M267="No aparece"),"Descartado",IF(N267="Sale","Descartado",IF(O267="Sigue","APROBADO","En proceso"))))))</f>
        <v/>
      </c>
    </row>
    <row r="268" ht="15" customHeight="1">
      <c r="A268" s="8">
        <f>IF(B268="","",ROW()-2)</f>
        <v/>
      </c>
      <c r="B268" s="9" t="n"/>
      <c r="C268" s="9" t="n"/>
      <c r="D268" s="12" t="n"/>
      <c r="E268" s="9" t="n"/>
      <c r="F268" s="9" t="n"/>
      <c r="G268" s="9" t="n"/>
      <c r="H268" s="12" t="n"/>
      <c r="I268" s="8">
        <f>IF(B268="","",IF(AND(F268&lt;&gt;"",SUMPRODUCT(--ISNUMBER(SEARCH(Preseleccionados!$A$2:$A$11,F268)))&gt;0),"YA ESTÁ",IF(AND(F268&lt;&gt;"",COUNTIF($F$3:F268,F268)&gt;1),"REPETIDO","")))</f>
        <v/>
      </c>
      <c r="J268" s="8">
        <f>IF(OR(B268="",I268&lt;&gt;""),"",IF(MOD(COUNTIFS($B$3:B268,"&lt;&gt;",$I$3:I268,""),2)=1,"Carlos","Joaquín"))</f>
        <v/>
      </c>
      <c r="K268" s="11" t="n"/>
      <c r="L268" s="11" t="n"/>
      <c r="M268" s="11" t="n"/>
      <c r="N268" s="11" t="n"/>
      <c r="O268" s="11" t="n"/>
      <c r="P268" s="8">
        <f>IF(J268="","",IF(K268="Sale","Descartado",IF(L268="Sale","Descartado",IF(OR(M268="Q3",M268="Q4",M268="No aparece"),"Descartado",IF(N268="Sale","Descartado",IF(O268="Sigue","APROBADO","En proceso"))))))</f>
        <v/>
      </c>
    </row>
    <row r="269" ht="15" customHeight="1">
      <c r="A269" s="8">
        <f>IF(B269="","",ROW()-2)</f>
        <v/>
      </c>
      <c r="B269" s="9" t="n"/>
      <c r="C269" s="9" t="n"/>
      <c r="D269" s="12" t="n"/>
      <c r="E269" s="9" t="n"/>
      <c r="F269" s="9" t="n"/>
      <c r="G269" s="9" t="n"/>
      <c r="H269" s="12" t="n"/>
      <c r="I269" s="8">
        <f>IF(B269="","",IF(AND(F269&lt;&gt;"",SUMPRODUCT(--ISNUMBER(SEARCH(Preseleccionados!$A$2:$A$11,F269)))&gt;0),"YA ESTÁ",IF(AND(F269&lt;&gt;"",COUNTIF($F$3:F269,F269)&gt;1),"REPETIDO","")))</f>
        <v/>
      </c>
      <c r="J269" s="8">
        <f>IF(OR(B269="",I269&lt;&gt;""),"",IF(MOD(COUNTIFS($B$3:B269,"&lt;&gt;",$I$3:I269,""),2)=1,"Carlos","Joaquín"))</f>
        <v/>
      </c>
      <c r="K269" s="11" t="n"/>
      <c r="L269" s="11" t="n"/>
      <c r="M269" s="11" t="n"/>
      <c r="N269" s="11" t="n"/>
      <c r="O269" s="11" t="n"/>
      <c r="P269" s="8">
        <f>IF(J269="","",IF(K269="Sale","Descartado",IF(L269="Sale","Descartado",IF(OR(M269="Q3",M269="Q4",M269="No aparece"),"Descartado",IF(N269="Sale","Descartado",IF(O269="Sigue","APROBADO","En proceso"))))))</f>
        <v/>
      </c>
    </row>
    <row r="270" ht="15" customHeight="1">
      <c r="A270" s="8">
        <f>IF(B270="","",ROW()-2)</f>
        <v/>
      </c>
      <c r="B270" s="9" t="n"/>
      <c r="C270" s="9" t="n"/>
      <c r="D270" s="12" t="n"/>
      <c r="E270" s="9" t="n"/>
      <c r="F270" s="9" t="n"/>
      <c r="G270" s="9" t="n"/>
      <c r="H270" s="12" t="n"/>
      <c r="I270" s="8">
        <f>IF(B270="","",IF(AND(F270&lt;&gt;"",SUMPRODUCT(--ISNUMBER(SEARCH(Preseleccionados!$A$2:$A$11,F270)))&gt;0),"YA ESTÁ",IF(AND(F270&lt;&gt;"",COUNTIF($F$3:F270,F270)&gt;1),"REPETIDO","")))</f>
        <v/>
      </c>
      <c r="J270" s="8">
        <f>IF(OR(B270="",I270&lt;&gt;""),"",IF(MOD(COUNTIFS($B$3:B270,"&lt;&gt;",$I$3:I270,""),2)=1,"Carlos","Joaquín"))</f>
        <v/>
      </c>
      <c r="K270" s="11" t="n"/>
      <c r="L270" s="11" t="n"/>
      <c r="M270" s="11" t="n"/>
      <c r="N270" s="11" t="n"/>
      <c r="O270" s="11" t="n"/>
      <c r="P270" s="8">
        <f>IF(J270="","",IF(K270="Sale","Descartado",IF(L270="Sale","Descartado",IF(OR(M270="Q3",M270="Q4",M270="No aparece"),"Descartado",IF(N270="Sale","Descartado",IF(O270="Sigue","APROBADO","En proceso"))))))</f>
        <v/>
      </c>
    </row>
    <row r="271" ht="15" customHeight="1">
      <c r="A271" s="8">
        <f>IF(B271="","",ROW()-2)</f>
        <v/>
      </c>
      <c r="B271" s="9" t="n"/>
      <c r="C271" s="9" t="n"/>
      <c r="D271" s="12" t="n"/>
      <c r="E271" s="9" t="n"/>
      <c r="F271" s="9" t="n"/>
      <c r="G271" s="9" t="n"/>
      <c r="H271" s="12" t="n"/>
      <c r="I271" s="8">
        <f>IF(B271="","",IF(AND(F271&lt;&gt;"",SUMPRODUCT(--ISNUMBER(SEARCH(Preseleccionados!$A$2:$A$11,F271)))&gt;0),"YA ESTÁ",IF(AND(F271&lt;&gt;"",COUNTIF($F$3:F271,F271)&gt;1),"REPETIDO","")))</f>
        <v/>
      </c>
      <c r="J271" s="8">
        <f>IF(OR(B271="",I271&lt;&gt;""),"",IF(MOD(COUNTIFS($B$3:B271,"&lt;&gt;",$I$3:I271,""),2)=1,"Carlos","Joaquín"))</f>
        <v/>
      </c>
      <c r="K271" s="11" t="n"/>
      <c r="L271" s="11" t="n"/>
      <c r="M271" s="11" t="n"/>
      <c r="N271" s="11" t="n"/>
      <c r="O271" s="11" t="n"/>
      <c r="P271" s="8">
        <f>IF(J271="","",IF(K271="Sale","Descartado",IF(L271="Sale","Descartado",IF(OR(M271="Q3",M271="Q4",M271="No aparece"),"Descartado",IF(N271="Sale","Descartado",IF(O271="Sigue","APROBADO","En proceso"))))))</f>
        <v/>
      </c>
    </row>
    <row r="272" ht="15" customHeight="1">
      <c r="A272" s="8">
        <f>IF(B272="","",ROW()-2)</f>
        <v/>
      </c>
      <c r="B272" s="9" t="n"/>
      <c r="C272" s="9" t="n"/>
      <c r="D272" s="12" t="n"/>
      <c r="E272" s="9" t="n"/>
      <c r="F272" s="9" t="n"/>
      <c r="G272" s="9" t="n"/>
      <c r="H272" s="12" t="n"/>
      <c r="I272" s="8">
        <f>IF(B272="","",IF(AND(F272&lt;&gt;"",SUMPRODUCT(--ISNUMBER(SEARCH(Preseleccionados!$A$2:$A$11,F272)))&gt;0),"YA ESTÁ",IF(AND(F272&lt;&gt;"",COUNTIF($F$3:F272,F272)&gt;1),"REPETIDO","")))</f>
        <v/>
      </c>
      <c r="J272" s="8">
        <f>IF(OR(B272="",I272&lt;&gt;""),"",IF(MOD(COUNTIFS($B$3:B272,"&lt;&gt;",$I$3:I272,""),2)=1,"Carlos","Joaquín"))</f>
        <v/>
      </c>
      <c r="K272" s="11" t="n"/>
      <c r="L272" s="11" t="n"/>
      <c r="M272" s="11" t="n"/>
      <c r="N272" s="11" t="n"/>
      <c r="O272" s="11" t="n"/>
      <c r="P272" s="8">
        <f>IF(J272="","",IF(K272="Sale","Descartado",IF(L272="Sale","Descartado",IF(OR(M272="Q3",M272="Q4",M272="No aparece"),"Descartado",IF(N272="Sale","Descartado",IF(O272="Sigue","APROBADO","En proceso"))))))</f>
        <v/>
      </c>
    </row>
    <row r="273" ht="15" customHeight="1">
      <c r="A273" s="8">
        <f>IF(B273="","",ROW()-2)</f>
        <v/>
      </c>
      <c r="B273" s="9" t="n"/>
      <c r="C273" s="9" t="n"/>
      <c r="D273" s="12" t="n"/>
      <c r="E273" s="9" t="n"/>
      <c r="F273" s="9" t="n"/>
      <c r="G273" s="9" t="n"/>
      <c r="H273" s="12" t="n"/>
      <c r="I273" s="8">
        <f>IF(B273="","",IF(AND(F273&lt;&gt;"",SUMPRODUCT(--ISNUMBER(SEARCH(Preseleccionados!$A$2:$A$11,F273)))&gt;0),"YA ESTÁ",IF(AND(F273&lt;&gt;"",COUNTIF($F$3:F273,F273)&gt;1),"REPETIDO","")))</f>
        <v/>
      </c>
      <c r="J273" s="8">
        <f>IF(OR(B273="",I273&lt;&gt;""),"",IF(MOD(COUNTIFS($B$3:B273,"&lt;&gt;",$I$3:I273,""),2)=1,"Carlos","Joaquín"))</f>
        <v/>
      </c>
      <c r="K273" s="11" t="n"/>
      <c r="L273" s="11" t="n"/>
      <c r="M273" s="11" t="n"/>
      <c r="N273" s="11" t="n"/>
      <c r="O273" s="11" t="n"/>
      <c r="P273" s="8">
        <f>IF(J273="","",IF(K273="Sale","Descartado",IF(L273="Sale","Descartado",IF(OR(M273="Q3",M273="Q4",M273="No aparece"),"Descartado",IF(N273="Sale","Descartado",IF(O273="Sigue","APROBADO","En proceso"))))))</f>
        <v/>
      </c>
    </row>
    <row r="274" ht="15" customHeight="1">
      <c r="A274" s="8">
        <f>IF(B274="","",ROW()-2)</f>
        <v/>
      </c>
      <c r="B274" s="9" t="n"/>
      <c r="C274" s="9" t="n"/>
      <c r="D274" s="12" t="n"/>
      <c r="E274" s="9" t="n"/>
      <c r="F274" s="9" t="n"/>
      <c r="G274" s="9" t="n"/>
      <c r="H274" s="12" t="n"/>
      <c r="I274" s="8">
        <f>IF(B274="","",IF(AND(F274&lt;&gt;"",SUMPRODUCT(--ISNUMBER(SEARCH(Preseleccionados!$A$2:$A$11,F274)))&gt;0),"YA ESTÁ",IF(AND(F274&lt;&gt;"",COUNTIF($F$3:F274,F274)&gt;1),"REPETIDO","")))</f>
        <v/>
      </c>
      <c r="J274" s="8">
        <f>IF(OR(B274="",I274&lt;&gt;""),"",IF(MOD(COUNTIFS($B$3:B274,"&lt;&gt;",$I$3:I274,""),2)=1,"Carlos","Joaquín"))</f>
        <v/>
      </c>
      <c r="K274" s="11" t="n"/>
      <c r="L274" s="11" t="n"/>
      <c r="M274" s="11" t="n"/>
      <c r="N274" s="11" t="n"/>
      <c r="O274" s="11" t="n"/>
      <c r="P274" s="8">
        <f>IF(J274="","",IF(K274="Sale","Descartado",IF(L274="Sale","Descartado",IF(OR(M274="Q3",M274="Q4",M274="No aparece"),"Descartado",IF(N274="Sale","Descartado",IF(O274="Sigue","APROBADO","En proceso"))))))</f>
        <v/>
      </c>
    </row>
    <row r="275" ht="15" customHeight="1">
      <c r="A275" s="8">
        <f>IF(B275="","",ROW()-2)</f>
        <v/>
      </c>
      <c r="B275" s="9" t="n"/>
      <c r="C275" s="9" t="n"/>
      <c r="D275" s="12" t="n"/>
      <c r="E275" s="9" t="n"/>
      <c r="F275" s="9" t="n"/>
      <c r="G275" s="9" t="n"/>
      <c r="H275" s="12" t="n"/>
      <c r="I275" s="8">
        <f>IF(B275="","",IF(AND(F275&lt;&gt;"",SUMPRODUCT(--ISNUMBER(SEARCH(Preseleccionados!$A$2:$A$11,F275)))&gt;0),"YA ESTÁ",IF(AND(F275&lt;&gt;"",COUNTIF($F$3:F275,F275)&gt;1),"REPETIDO","")))</f>
        <v/>
      </c>
      <c r="J275" s="8">
        <f>IF(OR(B275="",I275&lt;&gt;""),"",IF(MOD(COUNTIFS($B$3:B275,"&lt;&gt;",$I$3:I275,""),2)=1,"Carlos","Joaquín"))</f>
        <v/>
      </c>
      <c r="K275" s="11" t="n"/>
      <c r="L275" s="11" t="n"/>
      <c r="M275" s="11" t="n"/>
      <c r="N275" s="11" t="n"/>
      <c r="O275" s="11" t="n"/>
      <c r="P275" s="8">
        <f>IF(J275="","",IF(K275="Sale","Descartado",IF(L275="Sale","Descartado",IF(OR(M275="Q3",M275="Q4",M275="No aparece"),"Descartado",IF(N275="Sale","Descartado",IF(O275="Sigue","APROBADO","En proceso"))))))</f>
        <v/>
      </c>
    </row>
    <row r="276" ht="15" customHeight="1">
      <c r="A276" s="8">
        <f>IF(B276="","",ROW()-2)</f>
        <v/>
      </c>
      <c r="B276" s="9" t="n"/>
      <c r="C276" s="9" t="n"/>
      <c r="D276" s="12" t="n"/>
      <c r="E276" s="9" t="n"/>
      <c r="F276" s="9" t="n"/>
      <c r="G276" s="9" t="n"/>
      <c r="H276" s="12" t="n"/>
      <c r="I276" s="8">
        <f>IF(B276="","",IF(AND(F276&lt;&gt;"",SUMPRODUCT(--ISNUMBER(SEARCH(Preseleccionados!$A$2:$A$11,F276)))&gt;0),"YA ESTÁ",IF(AND(F276&lt;&gt;"",COUNTIF($F$3:F276,F276)&gt;1),"REPETIDO","")))</f>
        <v/>
      </c>
      <c r="J276" s="8">
        <f>IF(OR(B276="",I276&lt;&gt;""),"",IF(MOD(COUNTIFS($B$3:B276,"&lt;&gt;",$I$3:I276,""),2)=1,"Carlos","Joaquín"))</f>
        <v/>
      </c>
      <c r="K276" s="11" t="n"/>
      <c r="L276" s="11" t="n"/>
      <c r="M276" s="11" t="n"/>
      <c r="N276" s="11" t="n"/>
      <c r="O276" s="11" t="n"/>
      <c r="P276" s="8">
        <f>IF(J276="","",IF(K276="Sale","Descartado",IF(L276="Sale","Descartado",IF(OR(M276="Q3",M276="Q4",M276="No aparece"),"Descartado",IF(N276="Sale","Descartado",IF(O276="Sigue","APROBADO","En proceso"))))))</f>
        <v/>
      </c>
    </row>
    <row r="277" ht="15" customHeight="1">
      <c r="A277" s="8">
        <f>IF(B277="","",ROW()-2)</f>
        <v/>
      </c>
      <c r="B277" s="9" t="n"/>
      <c r="C277" s="9" t="n"/>
      <c r="D277" s="12" t="n"/>
      <c r="E277" s="9" t="n"/>
      <c r="F277" s="9" t="n"/>
      <c r="G277" s="9" t="n"/>
      <c r="H277" s="12" t="n"/>
      <c r="I277" s="8">
        <f>IF(B277="","",IF(AND(F277&lt;&gt;"",SUMPRODUCT(--ISNUMBER(SEARCH(Preseleccionados!$A$2:$A$11,F277)))&gt;0),"YA ESTÁ",IF(AND(F277&lt;&gt;"",COUNTIF($F$3:F277,F277)&gt;1),"REPETIDO","")))</f>
        <v/>
      </c>
      <c r="J277" s="8">
        <f>IF(OR(B277="",I277&lt;&gt;""),"",IF(MOD(COUNTIFS($B$3:B277,"&lt;&gt;",$I$3:I277,""),2)=1,"Carlos","Joaquín"))</f>
        <v/>
      </c>
      <c r="K277" s="11" t="n"/>
      <c r="L277" s="11" t="n"/>
      <c r="M277" s="11" t="n"/>
      <c r="N277" s="11" t="n"/>
      <c r="O277" s="11" t="n"/>
      <c r="P277" s="8">
        <f>IF(J277="","",IF(K277="Sale","Descartado",IF(L277="Sale","Descartado",IF(OR(M277="Q3",M277="Q4",M277="No aparece"),"Descartado",IF(N277="Sale","Descartado",IF(O277="Sigue","APROBADO","En proceso"))))))</f>
        <v/>
      </c>
    </row>
    <row r="278" ht="15" customHeight="1">
      <c r="A278" s="8">
        <f>IF(B278="","",ROW()-2)</f>
        <v/>
      </c>
      <c r="B278" s="9" t="n"/>
      <c r="C278" s="9" t="n"/>
      <c r="D278" s="12" t="n"/>
      <c r="E278" s="9" t="n"/>
      <c r="F278" s="9" t="n"/>
      <c r="G278" s="9" t="n"/>
      <c r="H278" s="12" t="n"/>
      <c r="I278" s="8">
        <f>IF(B278="","",IF(AND(F278&lt;&gt;"",SUMPRODUCT(--ISNUMBER(SEARCH(Preseleccionados!$A$2:$A$11,F278)))&gt;0),"YA ESTÁ",IF(AND(F278&lt;&gt;"",COUNTIF($F$3:F278,F278)&gt;1),"REPETIDO","")))</f>
        <v/>
      </c>
      <c r="J278" s="8">
        <f>IF(OR(B278="",I278&lt;&gt;""),"",IF(MOD(COUNTIFS($B$3:B278,"&lt;&gt;",$I$3:I278,""),2)=1,"Carlos","Joaquín"))</f>
        <v/>
      </c>
      <c r="K278" s="11" t="n"/>
      <c r="L278" s="11" t="n"/>
      <c r="M278" s="11" t="n"/>
      <c r="N278" s="11" t="n"/>
      <c r="O278" s="11" t="n"/>
      <c r="P278" s="8">
        <f>IF(J278="","",IF(K278="Sale","Descartado",IF(L278="Sale","Descartado",IF(OR(M278="Q3",M278="Q4",M278="No aparece"),"Descartado",IF(N278="Sale","Descartado",IF(O278="Sigue","APROBADO","En proceso"))))))</f>
        <v/>
      </c>
    </row>
    <row r="279" ht="15" customHeight="1">
      <c r="A279" s="8">
        <f>IF(B279="","",ROW()-2)</f>
        <v/>
      </c>
      <c r="B279" s="9" t="n"/>
      <c r="C279" s="9" t="n"/>
      <c r="D279" s="12" t="n"/>
      <c r="E279" s="9" t="n"/>
      <c r="F279" s="9" t="n"/>
      <c r="G279" s="9" t="n"/>
      <c r="H279" s="12" t="n"/>
      <c r="I279" s="8">
        <f>IF(B279="","",IF(AND(F279&lt;&gt;"",SUMPRODUCT(--ISNUMBER(SEARCH(Preseleccionados!$A$2:$A$11,F279)))&gt;0),"YA ESTÁ",IF(AND(F279&lt;&gt;"",COUNTIF($F$3:F279,F279)&gt;1),"REPETIDO","")))</f>
        <v/>
      </c>
      <c r="J279" s="8">
        <f>IF(OR(B279="",I279&lt;&gt;""),"",IF(MOD(COUNTIFS($B$3:B279,"&lt;&gt;",$I$3:I279,""),2)=1,"Carlos","Joaquín"))</f>
        <v/>
      </c>
      <c r="K279" s="11" t="n"/>
      <c r="L279" s="11" t="n"/>
      <c r="M279" s="11" t="n"/>
      <c r="N279" s="11" t="n"/>
      <c r="O279" s="11" t="n"/>
      <c r="P279" s="8">
        <f>IF(J279="","",IF(K279="Sale","Descartado",IF(L279="Sale","Descartado",IF(OR(M279="Q3",M279="Q4",M279="No aparece"),"Descartado",IF(N279="Sale","Descartado",IF(O279="Sigue","APROBADO","En proceso"))))))</f>
        <v/>
      </c>
    </row>
    <row r="280" ht="15" customHeight="1">
      <c r="A280" s="8">
        <f>IF(B280="","",ROW()-2)</f>
        <v/>
      </c>
      <c r="B280" s="9" t="n"/>
      <c r="C280" s="9" t="n"/>
      <c r="D280" s="12" t="n"/>
      <c r="E280" s="9" t="n"/>
      <c r="F280" s="9" t="n"/>
      <c r="G280" s="9" t="n"/>
      <c r="H280" s="12" t="n"/>
      <c r="I280" s="8">
        <f>IF(B280="","",IF(AND(F280&lt;&gt;"",SUMPRODUCT(--ISNUMBER(SEARCH(Preseleccionados!$A$2:$A$11,F280)))&gt;0),"YA ESTÁ",IF(AND(F280&lt;&gt;"",COUNTIF($F$3:F280,F280)&gt;1),"REPETIDO","")))</f>
        <v/>
      </c>
      <c r="J280" s="8">
        <f>IF(OR(B280="",I280&lt;&gt;""),"",IF(MOD(COUNTIFS($B$3:B280,"&lt;&gt;",$I$3:I280,""),2)=1,"Carlos","Joaquín"))</f>
        <v/>
      </c>
      <c r="K280" s="11" t="n"/>
      <c r="L280" s="11" t="n"/>
      <c r="M280" s="11" t="n"/>
      <c r="N280" s="11" t="n"/>
      <c r="O280" s="11" t="n"/>
      <c r="P280" s="8">
        <f>IF(J280="","",IF(K280="Sale","Descartado",IF(L280="Sale","Descartado",IF(OR(M280="Q3",M280="Q4",M280="No aparece"),"Descartado",IF(N280="Sale","Descartado",IF(O280="Sigue","APROBADO","En proceso"))))))</f>
        <v/>
      </c>
    </row>
    <row r="281" ht="15" customHeight="1">
      <c r="A281" s="8">
        <f>IF(B281="","",ROW()-2)</f>
        <v/>
      </c>
      <c r="B281" s="9" t="n"/>
      <c r="C281" s="9" t="n"/>
      <c r="D281" s="12" t="n"/>
      <c r="E281" s="9" t="n"/>
      <c r="F281" s="9" t="n"/>
      <c r="G281" s="9" t="n"/>
      <c r="H281" s="12" t="n"/>
      <c r="I281" s="8">
        <f>IF(B281="","",IF(AND(F281&lt;&gt;"",SUMPRODUCT(--ISNUMBER(SEARCH(Preseleccionados!$A$2:$A$11,F281)))&gt;0),"YA ESTÁ",IF(AND(F281&lt;&gt;"",COUNTIF($F$3:F281,F281)&gt;1),"REPETIDO","")))</f>
        <v/>
      </c>
      <c r="J281" s="8">
        <f>IF(OR(B281="",I281&lt;&gt;""),"",IF(MOD(COUNTIFS($B$3:B281,"&lt;&gt;",$I$3:I281,""),2)=1,"Carlos","Joaquín"))</f>
        <v/>
      </c>
      <c r="K281" s="11" t="n"/>
      <c r="L281" s="11" t="n"/>
      <c r="M281" s="11" t="n"/>
      <c r="N281" s="11" t="n"/>
      <c r="O281" s="11" t="n"/>
      <c r="P281" s="8">
        <f>IF(J281="","",IF(K281="Sale","Descartado",IF(L281="Sale","Descartado",IF(OR(M281="Q3",M281="Q4",M281="No aparece"),"Descartado",IF(N281="Sale","Descartado",IF(O281="Sigue","APROBADO","En proceso"))))))</f>
        <v/>
      </c>
    </row>
    <row r="282" ht="15" customHeight="1">
      <c r="A282" s="8">
        <f>IF(B282="","",ROW()-2)</f>
        <v/>
      </c>
      <c r="B282" s="9" t="n"/>
      <c r="C282" s="9" t="n"/>
      <c r="D282" s="12" t="n"/>
      <c r="E282" s="9" t="n"/>
      <c r="F282" s="9" t="n"/>
      <c r="G282" s="9" t="n"/>
      <c r="H282" s="12" t="n"/>
      <c r="I282" s="8">
        <f>IF(B282="","",IF(AND(F282&lt;&gt;"",SUMPRODUCT(--ISNUMBER(SEARCH(Preseleccionados!$A$2:$A$11,F282)))&gt;0),"YA ESTÁ",IF(AND(F282&lt;&gt;"",COUNTIF($F$3:F282,F282)&gt;1),"REPETIDO","")))</f>
        <v/>
      </c>
      <c r="J282" s="8">
        <f>IF(OR(B282="",I282&lt;&gt;""),"",IF(MOD(COUNTIFS($B$3:B282,"&lt;&gt;",$I$3:I282,""),2)=1,"Carlos","Joaquín"))</f>
        <v/>
      </c>
      <c r="K282" s="11" t="n"/>
      <c r="L282" s="11" t="n"/>
      <c r="M282" s="11" t="n"/>
      <c r="N282" s="11" t="n"/>
      <c r="O282" s="11" t="n"/>
      <c r="P282" s="8">
        <f>IF(J282="","",IF(K282="Sale","Descartado",IF(L282="Sale","Descartado",IF(OR(M282="Q3",M282="Q4",M282="No aparece"),"Descartado",IF(N282="Sale","Descartado",IF(O282="Sigue","APROBADO","En proceso"))))))</f>
        <v/>
      </c>
    </row>
    <row r="283" ht="15" customHeight="1">
      <c r="A283" s="8">
        <f>IF(B283="","",ROW()-2)</f>
        <v/>
      </c>
      <c r="B283" s="9" t="n"/>
      <c r="C283" s="9" t="n"/>
      <c r="D283" s="12" t="n"/>
      <c r="E283" s="9" t="n"/>
      <c r="F283" s="9" t="n"/>
      <c r="G283" s="9" t="n"/>
      <c r="H283" s="12" t="n"/>
      <c r="I283" s="8">
        <f>IF(B283="","",IF(AND(F283&lt;&gt;"",SUMPRODUCT(--ISNUMBER(SEARCH(Preseleccionados!$A$2:$A$11,F283)))&gt;0),"YA ESTÁ",IF(AND(F283&lt;&gt;"",COUNTIF($F$3:F283,F283)&gt;1),"REPETIDO","")))</f>
        <v/>
      </c>
      <c r="J283" s="8">
        <f>IF(OR(B283="",I283&lt;&gt;""),"",IF(MOD(COUNTIFS($B$3:B283,"&lt;&gt;",$I$3:I283,""),2)=1,"Carlos","Joaquín"))</f>
        <v/>
      </c>
      <c r="K283" s="11" t="n"/>
      <c r="L283" s="11" t="n"/>
      <c r="M283" s="11" t="n"/>
      <c r="N283" s="11" t="n"/>
      <c r="O283" s="11" t="n"/>
      <c r="P283" s="8">
        <f>IF(J283="","",IF(K283="Sale","Descartado",IF(L283="Sale","Descartado",IF(OR(M283="Q3",M283="Q4",M283="No aparece"),"Descartado",IF(N283="Sale","Descartado",IF(O283="Sigue","APROBADO","En proceso"))))))</f>
        <v/>
      </c>
    </row>
    <row r="284" ht="15" customHeight="1">
      <c r="A284" s="8">
        <f>IF(B284="","",ROW()-2)</f>
        <v/>
      </c>
      <c r="B284" s="9" t="n"/>
      <c r="C284" s="9" t="n"/>
      <c r="D284" s="12" t="n"/>
      <c r="E284" s="9" t="n"/>
      <c r="F284" s="9" t="n"/>
      <c r="G284" s="9" t="n"/>
      <c r="H284" s="12" t="n"/>
      <c r="I284" s="8">
        <f>IF(B284="","",IF(AND(F284&lt;&gt;"",SUMPRODUCT(--ISNUMBER(SEARCH(Preseleccionados!$A$2:$A$11,F284)))&gt;0),"YA ESTÁ",IF(AND(F284&lt;&gt;"",COUNTIF($F$3:F284,F284)&gt;1),"REPETIDO","")))</f>
        <v/>
      </c>
      <c r="J284" s="8">
        <f>IF(OR(B284="",I284&lt;&gt;""),"",IF(MOD(COUNTIFS($B$3:B284,"&lt;&gt;",$I$3:I284,""),2)=1,"Carlos","Joaquín"))</f>
        <v/>
      </c>
      <c r="K284" s="11" t="n"/>
      <c r="L284" s="11" t="n"/>
      <c r="M284" s="11" t="n"/>
      <c r="N284" s="11" t="n"/>
      <c r="O284" s="11" t="n"/>
      <c r="P284" s="8">
        <f>IF(J284="","",IF(K284="Sale","Descartado",IF(L284="Sale","Descartado",IF(OR(M284="Q3",M284="Q4",M284="No aparece"),"Descartado",IF(N284="Sale","Descartado",IF(O284="Sigue","APROBADO","En proceso"))))))</f>
        <v/>
      </c>
    </row>
    <row r="285" ht="15" customHeight="1">
      <c r="A285" s="8">
        <f>IF(B285="","",ROW()-2)</f>
        <v/>
      </c>
      <c r="B285" s="9" t="n"/>
      <c r="C285" s="9" t="n"/>
      <c r="D285" s="12" t="n"/>
      <c r="E285" s="9" t="n"/>
      <c r="F285" s="9" t="n"/>
      <c r="G285" s="9" t="n"/>
      <c r="H285" s="12" t="n"/>
      <c r="I285" s="8">
        <f>IF(B285="","",IF(AND(F285&lt;&gt;"",SUMPRODUCT(--ISNUMBER(SEARCH(Preseleccionados!$A$2:$A$11,F285)))&gt;0),"YA ESTÁ",IF(AND(F285&lt;&gt;"",COUNTIF($F$3:F285,F285)&gt;1),"REPETIDO","")))</f>
        <v/>
      </c>
      <c r="J285" s="8">
        <f>IF(OR(B285="",I285&lt;&gt;""),"",IF(MOD(COUNTIFS($B$3:B285,"&lt;&gt;",$I$3:I285,""),2)=1,"Carlos","Joaquín"))</f>
        <v/>
      </c>
      <c r="K285" s="11" t="n"/>
      <c r="L285" s="11" t="n"/>
      <c r="M285" s="11" t="n"/>
      <c r="N285" s="11" t="n"/>
      <c r="O285" s="11" t="n"/>
      <c r="P285" s="8">
        <f>IF(J285="","",IF(K285="Sale","Descartado",IF(L285="Sale","Descartado",IF(OR(M285="Q3",M285="Q4",M285="No aparece"),"Descartado",IF(N285="Sale","Descartado",IF(O285="Sigue","APROBADO","En proceso"))))))</f>
        <v/>
      </c>
    </row>
    <row r="286" ht="15" customHeight="1">
      <c r="A286" s="8">
        <f>IF(B286="","",ROW()-2)</f>
        <v/>
      </c>
      <c r="B286" s="9" t="n"/>
      <c r="C286" s="9" t="n"/>
      <c r="D286" s="12" t="n"/>
      <c r="E286" s="9" t="n"/>
      <c r="F286" s="9" t="n"/>
      <c r="G286" s="9" t="n"/>
      <c r="H286" s="12" t="n"/>
      <c r="I286" s="8">
        <f>IF(B286="","",IF(AND(F286&lt;&gt;"",SUMPRODUCT(--ISNUMBER(SEARCH(Preseleccionados!$A$2:$A$11,F286)))&gt;0),"YA ESTÁ",IF(AND(F286&lt;&gt;"",COUNTIF($F$3:F286,F286)&gt;1),"REPETIDO","")))</f>
        <v/>
      </c>
      <c r="J286" s="8">
        <f>IF(OR(B286="",I286&lt;&gt;""),"",IF(MOD(COUNTIFS($B$3:B286,"&lt;&gt;",$I$3:I286,""),2)=1,"Carlos","Joaquín"))</f>
        <v/>
      </c>
      <c r="K286" s="11" t="n"/>
      <c r="L286" s="11" t="n"/>
      <c r="M286" s="11" t="n"/>
      <c r="N286" s="11" t="n"/>
      <c r="O286" s="11" t="n"/>
      <c r="P286" s="8">
        <f>IF(J286="","",IF(K286="Sale","Descartado",IF(L286="Sale","Descartado",IF(OR(M286="Q3",M286="Q4",M286="No aparece"),"Descartado",IF(N286="Sale","Descartado",IF(O286="Sigue","APROBADO","En proceso"))))))</f>
        <v/>
      </c>
    </row>
    <row r="287" ht="15" customHeight="1">
      <c r="A287" s="8">
        <f>IF(B287="","",ROW()-2)</f>
        <v/>
      </c>
      <c r="B287" s="9" t="n"/>
      <c r="C287" s="9" t="n"/>
      <c r="D287" s="12" t="n"/>
      <c r="E287" s="9" t="n"/>
      <c r="F287" s="9" t="n"/>
      <c r="G287" s="9" t="n"/>
      <c r="H287" s="12" t="n"/>
      <c r="I287" s="8">
        <f>IF(B287="","",IF(AND(F287&lt;&gt;"",SUMPRODUCT(--ISNUMBER(SEARCH(Preseleccionados!$A$2:$A$11,F287)))&gt;0),"YA ESTÁ",IF(AND(F287&lt;&gt;"",COUNTIF($F$3:F287,F287)&gt;1),"REPETIDO","")))</f>
        <v/>
      </c>
      <c r="J287" s="8">
        <f>IF(OR(B287="",I287&lt;&gt;""),"",IF(MOD(COUNTIFS($B$3:B287,"&lt;&gt;",$I$3:I287,""),2)=1,"Carlos","Joaquín"))</f>
        <v/>
      </c>
      <c r="K287" s="11" t="n"/>
      <c r="L287" s="11" t="n"/>
      <c r="M287" s="11" t="n"/>
      <c r="N287" s="11" t="n"/>
      <c r="O287" s="11" t="n"/>
      <c r="P287" s="8">
        <f>IF(J287="","",IF(K287="Sale","Descartado",IF(L287="Sale","Descartado",IF(OR(M287="Q3",M287="Q4",M287="No aparece"),"Descartado",IF(N287="Sale","Descartado",IF(O287="Sigue","APROBADO","En proceso"))))))</f>
        <v/>
      </c>
    </row>
    <row r="288" ht="15" customHeight="1">
      <c r="A288" s="8">
        <f>IF(B288="","",ROW()-2)</f>
        <v/>
      </c>
      <c r="B288" s="9" t="n"/>
      <c r="C288" s="9" t="n"/>
      <c r="D288" s="12" t="n"/>
      <c r="E288" s="9" t="n"/>
      <c r="F288" s="9" t="n"/>
      <c r="G288" s="9" t="n"/>
      <c r="H288" s="12" t="n"/>
      <c r="I288" s="8">
        <f>IF(B288="","",IF(AND(F288&lt;&gt;"",SUMPRODUCT(--ISNUMBER(SEARCH(Preseleccionados!$A$2:$A$11,F288)))&gt;0),"YA ESTÁ",IF(AND(F288&lt;&gt;"",COUNTIF($F$3:F288,F288)&gt;1),"REPETIDO","")))</f>
        <v/>
      </c>
      <c r="J288" s="8">
        <f>IF(OR(B288="",I288&lt;&gt;""),"",IF(MOD(COUNTIFS($B$3:B288,"&lt;&gt;",$I$3:I288,""),2)=1,"Carlos","Joaquín"))</f>
        <v/>
      </c>
      <c r="K288" s="11" t="n"/>
      <c r="L288" s="11" t="n"/>
      <c r="M288" s="11" t="n"/>
      <c r="N288" s="11" t="n"/>
      <c r="O288" s="11" t="n"/>
      <c r="P288" s="8">
        <f>IF(J288="","",IF(K288="Sale","Descartado",IF(L288="Sale","Descartado",IF(OR(M288="Q3",M288="Q4",M288="No aparece"),"Descartado",IF(N288="Sale","Descartado",IF(O288="Sigue","APROBADO","En proceso"))))))</f>
        <v/>
      </c>
    </row>
    <row r="289" ht="15" customHeight="1">
      <c r="A289" s="8">
        <f>IF(B289="","",ROW()-2)</f>
        <v/>
      </c>
      <c r="B289" s="9" t="n"/>
      <c r="C289" s="9" t="n"/>
      <c r="D289" s="12" t="n"/>
      <c r="E289" s="9" t="n"/>
      <c r="F289" s="9" t="n"/>
      <c r="G289" s="9" t="n"/>
      <c r="H289" s="12" t="n"/>
      <c r="I289" s="8">
        <f>IF(B289="","",IF(AND(F289&lt;&gt;"",SUMPRODUCT(--ISNUMBER(SEARCH(Preseleccionados!$A$2:$A$11,F289)))&gt;0),"YA ESTÁ",IF(AND(F289&lt;&gt;"",COUNTIF($F$3:F289,F289)&gt;1),"REPETIDO","")))</f>
        <v/>
      </c>
      <c r="J289" s="8">
        <f>IF(OR(B289="",I289&lt;&gt;""),"",IF(MOD(COUNTIFS($B$3:B289,"&lt;&gt;",$I$3:I289,""),2)=1,"Carlos","Joaquín"))</f>
        <v/>
      </c>
      <c r="K289" s="11" t="n"/>
      <c r="L289" s="11" t="n"/>
      <c r="M289" s="11" t="n"/>
      <c r="N289" s="11" t="n"/>
      <c r="O289" s="11" t="n"/>
      <c r="P289" s="8">
        <f>IF(J289="","",IF(K289="Sale","Descartado",IF(L289="Sale","Descartado",IF(OR(M289="Q3",M289="Q4",M289="No aparece"),"Descartado",IF(N289="Sale","Descartado",IF(O289="Sigue","APROBADO","En proceso"))))))</f>
        <v/>
      </c>
    </row>
    <row r="290" ht="15" customHeight="1">
      <c r="A290" s="8">
        <f>IF(B290="","",ROW()-2)</f>
        <v/>
      </c>
      <c r="B290" s="9" t="n"/>
      <c r="C290" s="9" t="n"/>
      <c r="D290" s="12" t="n"/>
      <c r="E290" s="9" t="n"/>
      <c r="F290" s="9" t="n"/>
      <c r="G290" s="9" t="n"/>
      <c r="H290" s="12" t="n"/>
      <c r="I290" s="8">
        <f>IF(B290="","",IF(AND(F290&lt;&gt;"",SUMPRODUCT(--ISNUMBER(SEARCH(Preseleccionados!$A$2:$A$11,F290)))&gt;0),"YA ESTÁ",IF(AND(F290&lt;&gt;"",COUNTIF($F$3:F290,F290)&gt;1),"REPETIDO","")))</f>
        <v/>
      </c>
      <c r="J290" s="8">
        <f>IF(OR(B290="",I290&lt;&gt;""),"",IF(MOD(COUNTIFS($B$3:B290,"&lt;&gt;",$I$3:I290,""),2)=1,"Carlos","Joaquín"))</f>
        <v/>
      </c>
      <c r="K290" s="11" t="n"/>
      <c r="L290" s="11" t="n"/>
      <c r="M290" s="11" t="n"/>
      <c r="N290" s="11" t="n"/>
      <c r="O290" s="11" t="n"/>
      <c r="P290" s="8">
        <f>IF(J290="","",IF(K290="Sale","Descartado",IF(L290="Sale","Descartado",IF(OR(M290="Q3",M290="Q4",M290="No aparece"),"Descartado",IF(N290="Sale","Descartado",IF(O290="Sigue","APROBADO","En proceso"))))))</f>
        <v/>
      </c>
    </row>
    <row r="291" ht="15" customHeight="1">
      <c r="A291" s="8">
        <f>IF(B291="","",ROW()-2)</f>
        <v/>
      </c>
      <c r="B291" s="9" t="n"/>
      <c r="C291" s="9" t="n"/>
      <c r="D291" s="12" t="n"/>
      <c r="E291" s="9" t="n"/>
      <c r="F291" s="9" t="n"/>
      <c r="G291" s="9" t="n"/>
      <c r="H291" s="12" t="n"/>
      <c r="I291" s="8">
        <f>IF(B291="","",IF(AND(F291&lt;&gt;"",SUMPRODUCT(--ISNUMBER(SEARCH(Preseleccionados!$A$2:$A$11,F291)))&gt;0),"YA ESTÁ",IF(AND(F291&lt;&gt;"",COUNTIF($F$3:F291,F291)&gt;1),"REPETIDO","")))</f>
        <v/>
      </c>
      <c r="J291" s="8">
        <f>IF(OR(B291="",I291&lt;&gt;""),"",IF(MOD(COUNTIFS($B$3:B291,"&lt;&gt;",$I$3:I291,""),2)=1,"Carlos","Joaquín"))</f>
        <v/>
      </c>
      <c r="K291" s="11" t="n"/>
      <c r="L291" s="11" t="n"/>
      <c r="M291" s="11" t="n"/>
      <c r="N291" s="11" t="n"/>
      <c r="O291" s="11" t="n"/>
      <c r="P291" s="8">
        <f>IF(J291="","",IF(K291="Sale","Descartado",IF(L291="Sale","Descartado",IF(OR(M291="Q3",M291="Q4",M291="No aparece"),"Descartado",IF(N291="Sale","Descartado",IF(O291="Sigue","APROBADO","En proceso"))))))</f>
        <v/>
      </c>
    </row>
    <row r="292" ht="15" customHeight="1">
      <c r="A292" s="8">
        <f>IF(B292="","",ROW()-2)</f>
        <v/>
      </c>
      <c r="B292" s="9" t="n"/>
      <c r="C292" s="9" t="n"/>
      <c r="D292" s="12" t="n"/>
      <c r="E292" s="9" t="n"/>
      <c r="F292" s="9" t="n"/>
      <c r="G292" s="9" t="n"/>
      <c r="H292" s="12" t="n"/>
      <c r="I292" s="8">
        <f>IF(B292="","",IF(AND(F292&lt;&gt;"",SUMPRODUCT(--ISNUMBER(SEARCH(Preseleccionados!$A$2:$A$11,F292)))&gt;0),"YA ESTÁ",IF(AND(F292&lt;&gt;"",COUNTIF($F$3:F292,F292)&gt;1),"REPETIDO","")))</f>
        <v/>
      </c>
      <c r="J292" s="8">
        <f>IF(OR(B292="",I292&lt;&gt;""),"",IF(MOD(COUNTIFS($B$3:B292,"&lt;&gt;",$I$3:I292,""),2)=1,"Carlos","Joaquín"))</f>
        <v/>
      </c>
      <c r="K292" s="11" t="n"/>
      <c r="L292" s="11" t="n"/>
      <c r="M292" s="11" t="n"/>
      <c r="N292" s="11" t="n"/>
      <c r="O292" s="11" t="n"/>
      <c r="P292" s="8">
        <f>IF(J292="","",IF(K292="Sale","Descartado",IF(L292="Sale","Descartado",IF(OR(M292="Q3",M292="Q4",M292="No aparece"),"Descartado",IF(N292="Sale","Descartado",IF(O292="Sigue","APROBADO","En proceso"))))))</f>
        <v/>
      </c>
    </row>
    <row r="293" ht="15" customHeight="1">
      <c r="A293" s="8">
        <f>IF(B293="","",ROW()-2)</f>
        <v/>
      </c>
      <c r="B293" s="9" t="n"/>
      <c r="C293" s="9" t="n"/>
      <c r="D293" s="12" t="n"/>
      <c r="E293" s="9" t="n"/>
      <c r="F293" s="9" t="n"/>
      <c r="G293" s="9" t="n"/>
      <c r="H293" s="12" t="n"/>
      <c r="I293" s="8">
        <f>IF(B293="","",IF(AND(F293&lt;&gt;"",SUMPRODUCT(--ISNUMBER(SEARCH(Preseleccionados!$A$2:$A$11,F293)))&gt;0),"YA ESTÁ",IF(AND(F293&lt;&gt;"",COUNTIF($F$3:F293,F293)&gt;1),"REPETIDO","")))</f>
        <v/>
      </c>
      <c r="J293" s="8">
        <f>IF(OR(B293="",I293&lt;&gt;""),"",IF(MOD(COUNTIFS($B$3:B293,"&lt;&gt;",$I$3:I293,""),2)=1,"Carlos","Joaquín"))</f>
        <v/>
      </c>
      <c r="K293" s="11" t="n"/>
      <c r="L293" s="11" t="n"/>
      <c r="M293" s="11" t="n"/>
      <c r="N293" s="11" t="n"/>
      <c r="O293" s="11" t="n"/>
      <c r="P293" s="8">
        <f>IF(J293="","",IF(K293="Sale","Descartado",IF(L293="Sale","Descartado",IF(OR(M293="Q3",M293="Q4",M293="No aparece"),"Descartado",IF(N293="Sale","Descartado",IF(O293="Sigue","APROBADO","En proceso"))))))</f>
        <v/>
      </c>
    </row>
    <row r="294" ht="15" customHeight="1">
      <c r="A294" s="8">
        <f>IF(B294="","",ROW()-2)</f>
        <v/>
      </c>
      <c r="B294" s="9" t="n"/>
      <c r="C294" s="9" t="n"/>
      <c r="D294" s="12" t="n"/>
      <c r="E294" s="9" t="n"/>
      <c r="F294" s="9" t="n"/>
      <c r="G294" s="9" t="n"/>
      <c r="H294" s="12" t="n"/>
      <c r="I294" s="8">
        <f>IF(B294="","",IF(AND(F294&lt;&gt;"",SUMPRODUCT(--ISNUMBER(SEARCH(Preseleccionados!$A$2:$A$11,F294)))&gt;0),"YA ESTÁ",IF(AND(F294&lt;&gt;"",COUNTIF($F$3:F294,F294)&gt;1),"REPETIDO","")))</f>
        <v/>
      </c>
      <c r="J294" s="8">
        <f>IF(OR(B294="",I294&lt;&gt;""),"",IF(MOD(COUNTIFS($B$3:B294,"&lt;&gt;",$I$3:I294,""),2)=1,"Carlos","Joaquín"))</f>
        <v/>
      </c>
      <c r="K294" s="11" t="n"/>
      <c r="L294" s="11" t="n"/>
      <c r="M294" s="11" t="n"/>
      <c r="N294" s="11" t="n"/>
      <c r="O294" s="11" t="n"/>
      <c r="P294" s="8">
        <f>IF(J294="","",IF(K294="Sale","Descartado",IF(L294="Sale","Descartado",IF(OR(M294="Q3",M294="Q4",M294="No aparece"),"Descartado",IF(N294="Sale","Descartado",IF(O294="Sigue","APROBADO","En proceso"))))))</f>
        <v/>
      </c>
    </row>
    <row r="295" ht="15" customHeight="1">
      <c r="A295" s="8">
        <f>IF(B295="","",ROW()-2)</f>
        <v/>
      </c>
      <c r="B295" s="9" t="n"/>
      <c r="C295" s="9" t="n"/>
      <c r="D295" s="12" t="n"/>
      <c r="E295" s="9" t="n"/>
      <c r="F295" s="9" t="n"/>
      <c r="G295" s="9" t="n"/>
      <c r="H295" s="12" t="n"/>
      <c r="I295" s="8">
        <f>IF(B295="","",IF(AND(F295&lt;&gt;"",SUMPRODUCT(--ISNUMBER(SEARCH(Preseleccionados!$A$2:$A$11,F295)))&gt;0),"YA ESTÁ",IF(AND(F295&lt;&gt;"",COUNTIF($F$3:F295,F295)&gt;1),"REPETIDO","")))</f>
        <v/>
      </c>
      <c r="J295" s="8">
        <f>IF(OR(B295="",I295&lt;&gt;""),"",IF(MOD(COUNTIFS($B$3:B295,"&lt;&gt;",$I$3:I295,""),2)=1,"Carlos","Joaquín"))</f>
        <v/>
      </c>
      <c r="K295" s="11" t="n"/>
      <c r="L295" s="11" t="n"/>
      <c r="M295" s="11" t="n"/>
      <c r="N295" s="11" t="n"/>
      <c r="O295" s="11" t="n"/>
      <c r="P295" s="8">
        <f>IF(J295="","",IF(K295="Sale","Descartado",IF(L295="Sale","Descartado",IF(OR(M295="Q3",M295="Q4",M295="No aparece"),"Descartado",IF(N295="Sale","Descartado",IF(O295="Sigue","APROBADO","En proceso"))))))</f>
        <v/>
      </c>
    </row>
    <row r="296" ht="15" customHeight="1">
      <c r="A296" s="8">
        <f>IF(B296="","",ROW()-2)</f>
        <v/>
      </c>
      <c r="B296" s="9" t="n"/>
      <c r="C296" s="9" t="n"/>
      <c r="D296" s="12" t="n"/>
      <c r="E296" s="9" t="n"/>
      <c r="F296" s="9" t="n"/>
      <c r="G296" s="9" t="n"/>
      <c r="H296" s="12" t="n"/>
      <c r="I296" s="8">
        <f>IF(B296="","",IF(AND(F296&lt;&gt;"",SUMPRODUCT(--ISNUMBER(SEARCH(Preseleccionados!$A$2:$A$11,F296)))&gt;0),"YA ESTÁ",IF(AND(F296&lt;&gt;"",COUNTIF($F$3:F296,F296)&gt;1),"REPETIDO","")))</f>
        <v/>
      </c>
      <c r="J296" s="8">
        <f>IF(OR(B296="",I296&lt;&gt;""),"",IF(MOD(COUNTIFS($B$3:B296,"&lt;&gt;",$I$3:I296,""),2)=1,"Carlos","Joaquín"))</f>
        <v/>
      </c>
      <c r="K296" s="11" t="n"/>
      <c r="L296" s="11" t="n"/>
      <c r="M296" s="11" t="n"/>
      <c r="N296" s="11" t="n"/>
      <c r="O296" s="11" t="n"/>
      <c r="P296" s="8">
        <f>IF(J296="","",IF(K296="Sale","Descartado",IF(L296="Sale","Descartado",IF(OR(M296="Q3",M296="Q4",M296="No aparece"),"Descartado",IF(N296="Sale","Descartado",IF(O296="Sigue","APROBADO","En proceso"))))))</f>
        <v/>
      </c>
    </row>
    <row r="297" ht="15" customHeight="1">
      <c r="A297" s="8">
        <f>IF(B297="","",ROW()-2)</f>
        <v/>
      </c>
      <c r="B297" s="9" t="n"/>
      <c r="C297" s="9" t="n"/>
      <c r="D297" s="12" t="n"/>
      <c r="E297" s="9" t="n"/>
      <c r="F297" s="9" t="n"/>
      <c r="G297" s="9" t="n"/>
      <c r="H297" s="12" t="n"/>
      <c r="I297" s="8">
        <f>IF(B297="","",IF(AND(F297&lt;&gt;"",SUMPRODUCT(--ISNUMBER(SEARCH(Preseleccionados!$A$2:$A$11,F297)))&gt;0),"YA ESTÁ",IF(AND(F297&lt;&gt;"",COUNTIF($F$3:F297,F297)&gt;1),"REPETIDO","")))</f>
        <v/>
      </c>
      <c r="J297" s="8">
        <f>IF(OR(B297="",I297&lt;&gt;""),"",IF(MOD(COUNTIFS($B$3:B297,"&lt;&gt;",$I$3:I297,""),2)=1,"Carlos","Joaquín"))</f>
        <v/>
      </c>
      <c r="K297" s="11" t="n"/>
      <c r="L297" s="11" t="n"/>
      <c r="M297" s="11" t="n"/>
      <c r="N297" s="11" t="n"/>
      <c r="O297" s="11" t="n"/>
      <c r="P297" s="8">
        <f>IF(J297="","",IF(K297="Sale","Descartado",IF(L297="Sale","Descartado",IF(OR(M297="Q3",M297="Q4",M297="No aparece"),"Descartado",IF(N297="Sale","Descartado",IF(O297="Sigue","APROBADO","En proceso"))))))</f>
        <v/>
      </c>
    </row>
    <row r="298" ht="15" customHeight="1">
      <c r="A298" s="8">
        <f>IF(B298="","",ROW()-2)</f>
        <v/>
      </c>
      <c r="B298" s="9" t="n"/>
      <c r="C298" s="9" t="n"/>
      <c r="D298" s="12" t="n"/>
      <c r="E298" s="9" t="n"/>
      <c r="F298" s="9" t="n"/>
      <c r="G298" s="9" t="n"/>
      <c r="H298" s="12" t="n"/>
      <c r="I298" s="8">
        <f>IF(B298="","",IF(AND(F298&lt;&gt;"",SUMPRODUCT(--ISNUMBER(SEARCH(Preseleccionados!$A$2:$A$11,F298)))&gt;0),"YA ESTÁ",IF(AND(F298&lt;&gt;"",COUNTIF($F$3:F298,F298)&gt;1),"REPETIDO","")))</f>
        <v/>
      </c>
      <c r="J298" s="8">
        <f>IF(OR(B298="",I298&lt;&gt;""),"",IF(MOD(COUNTIFS($B$3:B298,"&lt;&gt;",$I$3:I298,""),2)=1,"Carlos","Joaquín"))</f>
        <v/>
      </c>
      <c r="K298" s="11" t="n"/>
      <c r="L298" s="11" t="n"/>
      <c r="M298" s="11" t="n"/>
      <c r="N298" s="11" t="n"/>
      <c r="O298" s="11" t="n"/>
      <c r="P298" s="8">
        <f>IF(J298="","",IF(K298="Sale","Descartado",IF(L298="Sale","Descartado",IF(OR(M298="Q3",M298="Q4",M298="No aparece"),"Descartado",IF(N298="Sale","Descartado",IF(O298="Sigue","APROBADO","En proceso"))))))</f>
        <v/>
      </c>
    </row>
    <row r="299" ht="15" customHeight="1">
      <c r="A299" s="8">
        <f>IF(B299="","",ROW()-2)</f>
        <v/>
      </c>
      <c r="B299" s="9" t="n"/>
      <c r="C299" s="9" t="n"/>
      <c r="D299" s="12" t="n"/>
      <c r="E299" s="9" t="n"/>
      <c r="F299" s="9" t="n"/>
      <c r="G299" s="9" t="n"/>
      <c r="H299" s="12" t="n"/>
      <c r="I299" s="8">
        <f>IF(B299="","",IF(AND(F299&lt;&gt;"",SUMPRODUCT(--ISNUMBER(SEARCH(Preseleccionados!$A$2:$A$11,F299)))&gt;0),"YA ESTÁ",IF(AND(F299&lt;&gt;"",COUNTIF($F$3:F299,F299)&gt;1),"REPETIDO","")))</f>
        <v/>
      </c>
      <c r="J299" s="8">
        <f>IF(OR(B299="",I299&lt;&gt;""),"",IF(MOD(COUNTIFS($B$3:B299,"&lt;&gt;",$I$3:I299,""),2)=1,"Carlos","Joaquín"))</f>
        <v/>
      </c>
      <c r="K299" s="11" t="n"/>
      <c r="L299" s="11" t="n"/>
      <c r="M299" s="11" t="n"/>
      <c r="N299" s="11" t="n"/>
      <c r="O299" s="11" t="n"/>
      <c r="P299" s="8">
        <f>IF(J299="","",IF(K299="Sale","Descartado",IF(L299="Sale","Descartado",IF(OR(M299="Q3",M299="Q4",M299="No aparece"),"Descartado",IF(N299="Sale","Descartado",IF(O299="Sigue","APROBADO","En proceso"))))))</f>
        <v/>
      </c>
    </row>
    <row r="300" ht="15" customHeight="1">
      <c r="A300" s="8">
        <f>IF(B300="","",ROW()-2)</f>
        <v/>
      </c>
      <c r="B300" s="9" t="n"/>
      <c r="C300" s="9" t="n"/>
      <c r="D300" s="12" t="n"/>
      <c r="E300" s="9" t="n"/>
      <c r="F300" s="9" t="n"/>
      <c r="G300" s="9" t="n"/>
      <c r="H300" s="12" t="n"/>
      <c r="I300" s="8">
        <f>IF(B300="","",IF(AND(F300&lt;&gt;"",SUMPRODUCT(--ISNUMBER(SEARCH(Preseleccionados!$A$2:$A$11,F300)))&gt;0),"YA ESTÁ",IF(AND(F300&lt;&gt;"",COUNTIF($F$3:F300,F300)&gt;1),"REPETIDO","")))</f>
        <v/>
      </c>
      <c r="J300" s="8">
        <f>IF(OR(B300="",I300&lt;&gt;""),"",IF(MOD(COUNTIFS($B$3:B300,"&lt;&gt;",$I$3:I300,""),2)=1,"Carlos","Joaquín"))</f>
        <v/>
      </c>
      <c r="K300" s="11" t="n"/>
      <c r="L300" s="11" t="n"/>
      <c r="M300" s="11" t="n"/>
      <c r="N300" s="11" t="n"/>
      <c r="O300" s="11" t="n"/>
      <c r="P300" s="8">
        <f>IF(J300="","",IF(K300="Sale","Descartado",IF(L300="Sale","Descartado",IF(OR(M300="Q3",M300="Q4",M300="No aparece"),"Descartado",IF(N300="Sale","Descartado",IF(O300="Sigue","APROBADO","En proceso"))))))</f>
        <v/>
      </c>
    </row>
    <row r="301" ht="15" customHeight="1">
      <c r="A301" s="8">
        <f>IF(B301="","",ROW()-2)</f>
        <v/>
      </c>
      <c r="B301" s="9" t="n"/>
      <c r="C301" s="9" t="n"/>
      <c r="D301" s="12" t="n"/>
      <c r="E301" s="9" t="n"/>
      <c r="F301" s="9" t="n"/>
      <c r="G301" s="9" t="n"/>
      <c r="H301" s="12" t="n"/>
      <c r="I301" s="8">
        <f>IF(B301="","",IF(AND(F301&lt;&gt;"",SUMPRODUCT(--ISNUMBER(SEARCH(Preseleccionados!$A$2:$A$11,F301)))&gt;0),"YA ESTÁ",IF(AND(F301&lt;&gt;"",COUNTIF($F$3:F301,F301)&gt;1),"REPETIDO","")))</f>
        <v/>
      </c>
      <c r="J301" s="8">
        <f>IF(OR(B301="",I301&lt;&gt;""),"",IF(MOD(COUNTIFS($B$3:B301,"&lt;&gt;",$I$3:I301,""),2)=1,"Carlos","Joaquín"))</f>
        <v/>
      </c>
      <c r="K301" s="11" t="n"/>
      <c r="L301" s="11" t="n"/>
      <c r="M301" s="11" t="n"/>
      <c r="N301" s="11" t="n"/>
      <c r="O301" s="11" t="n"/>
      <c r="P301" s="8">
        <f>IF(J301="","",IF(K301="Sale","Descartado",IF(L301="Sale","Descartado",IF(OR(M301="Q3",M301="Q4",M301="No aparece"),"Descartado",IF(N301="Sale","Descartado",IF(O301="Sigue","APROBADO","En proceso"))))))</f>
        <v/>
      </c>
    </row>
    <row r="302" ht="15" customHeight="1">
      <c r="A302" s="8">
        <f>IF(B302="","",ROW()-2)</f>
        <v/>
      </c>
      <c r="B302" s="9" t="n"/>
      <c r="C302" s="9" t="n"/>
      <c r="D302" s="12" t="n"/>
      <c r="E302" s="9" t="n"/>
      <c r="F302" s="9" t="n"/>
      <c r="G302" s="9" t="n"/>
      <c r="H302" s="12" t="n"/>
      <c r="I302" s="8">
        <f>IF(B302="","",IF(AND(F302&lt;&gt;"",SUMPRODUCT(--ISNUMBER(SEARCH(Preseleccionados!$A$2:$A$11,F302)))&gt;0),"YA ESTÁ",IF(AND(F302&lt;&gt;"",COUNTIF($F$3:F302,F302)&gt;1),"REPETIDO","")))</f>
        <v/>
      </c>
      <c r="J302" s="8">
        <f>IF(OR(B302="",I302&lt;&gt;""),"",IF(MOD(COUNTIFS($B$3:B302,"&lt;&gt;",$I$3:I302,""),2)=1,"Carlos","Joaquín"))</f>
        <v/>
      </c>
      <c r="K302" s="11" t="n"/>
      <c r="L302" s="11" t="n"/>
      <c r="M302" s="11" t="n"/>
      <c r="N302" s="11" t="n"/>
      <c r="O302" s="11" t="n"/>
      <c r="P302" s="8">
        <f>IF(J302="","",IF(K302="Sale","Descartado",IF(L302="Sale","Descartado",IF(OR(M302="Q3",M302="Q4",M302="No aparece"),"Descartado",IF(N302="Sale","Descartado",IF(O302="Sigue","APROBADO","En proceso"))))))</f>
        <v/>
      </c>
    </row>
    <row r="303" ht="15" customHeight="1">
      <c r="A303" s="8">
        <f>IF(B303="","",ROW()-2)</f>
        <v/>
      </c>
      <c r="B303" s="9" t="n"/>
      <c r="C303" s="9" t="n"/>
      <c r="D303" s="12" t="n"/>
      <c r="E303" s="9" t="n"/>
      <c r="F303" s="9" t="n"/>
      <c r="G303" s="9" t="n"/>
      <c r="H303" s="12" t="n"/>
      <c r="I303" s="8">
        <f>IF(B303="","",IF(AND(F303&lt;&gt;"",SUMPRODUCT(--ISNUMBER(SEARCH(Preseleccionados!$A$2:$A$11,F303)))&gt;0),"YA ESTÁ",IF(AND(F303&lt;&gt;"",COUNTIF($F$3:F303,F303)&gt;1),"REPETIDO","")))</f>
        <v/>
      </c>
      <c r="J303" s="8">
        <f>IF(OR(B303="",I303&lt;&gt;""),"",IF(MOD(COUNTIFS($B$3:B303,"&lt;&gt;",$I$3:I303,""),2)=1,"Carlos","Joaquín"))</f>
        <v/>
      </c>
      <c r="K303" s="11" t="n"/>
      <c r="L303" s="11" t="n"/>
      <c r="M303" s="11" t="n"/>
      <c r="N303" s="11" t="n"/>
      <c r="O303" s="11" t="n"/>
      <c r="P303" s="8">
        <f>IF(J303="","",IF(K303="Sale","Descartado",IF(L303="Sale","Descartado",IF(OR(M303="Q3",M303="Q4",M303="No aparece"),"Descartado",IF(N303="Sale","Descartado",IF(O303="Sigue","APROBADO","En proceso"))))))</f>
        <v/>
      </c>
    </row>
    <row r="304" ht="15" customHeight="1">
      <c r="A304" s="8">
        <f>IF(B304="","",ROW()-2)</f>
        <v/>
      </c>
      <c r="B304" s="9" t="n"/>
      <c r="C304" s="9" t="n"/>
      <c r="D304" s="12" t="n"/>
      <c r="E304" s="9" t="n"/>
      <c r="F304" s="9" t="n"/>
      <c r="G304" s="9" t="n"/>
      <c r="H304" s="12" t="n"/>
      <c r="I304" s="8">
        <f>IF(B304="","",IF(AND(F304&lt;&gt;"",SUMPRODUCT(--ISNUMBER(SEARCH(Preseleccionados!$A$2:$A$11,F304)))&gt;0),"YA ESTÁ",IF(AND(F304&lt;&gt;"",COUNTIF($F$3:F304,F304)&gt;1),"REPETIDO","")))</f>
        <v/>
      </c>
      <c r="J304" s="8">
        <f>IF(OR(B304="",I304&lt;&gt;""),"",IF(MOD(COUNTIFS($B$3:B304,"&lt;&gt;",$I$3:I304,""),2)=1,"Carlos","Joaquín"))</f>
        <v/>
      </c>
      <c r="K304" s="11" t="n"/>
      <c r="L304" s="11" t="n"/>
      <c r="M304" s="11" t="n"/>
      <c r="N304" s="11" t="n"/>
      <c r="O304" s="11" t="n"/>
      <c r="P304" s="8">
        <f>IF(J304="","",IF(K304="Sale","Descartado",IF(L304="Sale","Descartado",IF(OR(M304="Q3",M304="Q4",M304="No aparece"),"Descartado",IF(N304="Sale","Descartado",IF(O304="Sigue","APROBADO","En proceso"))))))</f>
        <v/>
      </c>
    </row>
    <row r="305" ht="15" customHeight="1">
      <c r="A305" s="8">
        <f>IF(B305="","",ROW()-2)</f>
        <v/>
      </c>
      <c r="B305" s="9" t="n"/>
      <c r="C305" s="9" t="n"/>
      <c r="D305" s="12" t="n"/>
      <c r="E305" s="9" t="n"/>
      <c r="F305" s="9" t="n"/>
      <c r="G305" s="9" t="n"/>
      <c r="H305" s="12" t="n"/>
      <c r="I305" s="8">
        <f>IF(B305="","",IF(AND(F305&lt;&gt;"",SUMPRODUCT(--ISNUMBER(SEARCH(Preseleccionados!$A$2:$A$11,F305)))&gt;0),"YA ESTÁ",IF(AND(F305&lt;&gt;"",COUNTIF($F$3:F305,F305)&gt;1),"REPETIDO","")))</f>
        <v/>
      </c>
      <c r="J305" s="8">
        <f>IF(OR(B305="",I305&lt;&gt;""),"",IF(MOD(COUNTIFS($B$3:B305,"&lt;&gt;",$I$3:I305,""),2)=1,"Carlos","Joaquín"))</f>
        <v/>
      </c>
      <c r="K305" s="11" t="n"/>
      <c r="L305" s="11" t="n"/>
      <c r="M305" s="11" t="n"/>
      <c r="N305" s="11" t="n"/>
      <c r="O305" s="11" t="n"/>
      <c r="P305" s="8">
        <f>IF(J305="","",IF(K305="Sale","Descartado",IF(L305="Sale","Descartado",IF(OR(M305="Q3",M305="Q4",M305="No aparece"),"Descartado",IF(N305="Sale","Descartado",IF(O305="Sigue","APROBADO","En proceso"))))))</f>
        <v/>
      </c>
    </row>
    <row r="306" ht="15" customHeight="1">
      <c r="A306" s="8">
        <f>IF(B306="","",ROW()-2)</f>
        <v/>
      </c>
      <c r="B306" s="9" t="n"/>
      <c r="C306" s="9" t="n"/>
      <c r="D306" s="12" t="n"/>
      <c r="E306" s="9" t="n"/>
      <c r="F306" s="9" t="n"/>
      <c r="G306" s="9" t="n"/>
      <c r="H306" s="12" t="n"/>
      <c r="I306" s="8">
        <f>IF(B306="","",IF(AND(F306&lt;&gt;"",SUMPRODUCT(--ISNUMBER(SEARCH(Preseleccionados!$A$2:$A$11,F306)))&gt;0),"YA ESTÁ",IF(AND(F306&lt;&gt;"",COUNTIF($F$3:F306,F306)&gt;1),"REPETIDO","")))</f>
        <v/>
      </c>
      <c r="J306" s="8">
        <f>IF(OR(B306="",I306&lt;&gt;""),"",IF(MOD(COUNTIFS($B$3:B306,"&lt;&gt;",$I$3:I306,""),2)=1,"Carlos","Joaquín"))</f>
        <v/>
      </c>
      <c r="K306" s="11" t="n"/>
      <c r="L306" s="11" t="n"/>
      <c r="M306" s="11" t="n"/>
      <c r="N306" s="11" t="n"/>
      <c r="O306" s="11" t="n"/>
      <c r="P306" s="8">
        <f>IF(J306="","",IF(K306="Sale","Descartado",IF(L306="Sale","Descartado",IF(OR(M306="Q3",M306="Q4",M306="No aparece"),"Descartado",IF(N306="Sale","Descartado",IF(O306="Sigue","APROBADO","En proceso"))))))</f>
        <v/>
      </c>
    </row>
    <row r="307" ht="15" customHeight="1">
      <c r="A307" s="8">
        <f>IF(B307="","",ROW()-2)</f>
        <v/>
      </c>
      <c r="B307" s="9" t="n"/>
      <c r="C307" s="9" t="n"/>
      <c r="D307" s="12" t="n"/>
      <c r="E307" s="9" t="n"/>
      <c r="F307" s="9" t="n"/>
      <c r="G307" s="9" t="n"/>
      <c r="H307" s="12" t="n"/>
      <c r="I307" s="8">
        <f>IF(B307="","",IF(AND(F307&lt;&gt;"",SUMPRODUCT(--ISNUMBER(SEARCH(Preseleccionados!$A$2:$A$11,F307)))&gt;0),"YA ESTÁ",IF(AND(F307&lt;&gt;"",COUNTIF($F$3:F307,F307)&gt;1),"REPETIDO","")))</f>
        <v/>
      </c>
      <c r="J307" s="8">
        <f>IF(OR(B307="",I307&lt;&gt;""),"",IF(MOD(COUNTIFS($B$3:B307,"&lt;&gt;",$I$3:I307,""),2)=1,"Carlos","Joaquín"))</f>
        <v/>
      </c>
      <c r="K307" s="11" t="n"/>
      <c r="L307" s="11" t="n"/>
      <c r="M307" s="11" t="n"/>
      <c r="N307" s="11" t="n"/>
      <c r="O307" s="11" t="n"/>
      <c r="P307" s="8">
        <f>IF(J307="","",IF(K307="Sale","Descartado",IF(L307="Sale","Descartado",IF(OR(M307="Q3",M307="Q4",M307="No aparece"),"Descartado",IF(N307="Sale","Descartado",IF(O307="Sigue","APROBADO","En proceso"))))))</f>
        <v/>
      </c>
    </row>
    <row r="308" ht="15" customHeight="1">
      <c r="A308" s="8">
        <f>IF(B308="","",ROW()-2)</f>
        <v/>
      </c>
      <c r="B308" s="9" t="n"/>
      <c r="C308" s="9" t="n"/>
      <c r="D308" s="12" t="n"/>
      <c r="E308" s="9" t="n"/>
      <c r="F308" s="9" t="n"/>
      <c r="G308" s="9" t="n"/>
      <c r="H308" s="12" t="n"/>
      <c r="I308" s="8">
        <f>IF(B308="","",IF(AND(F308&lt;&gt;"",SUMPRODUCT(--ISNUMBER(SEARCH(Preseleccionados!$A$2:$A$11,F308)))&gt;0),"YA ESTÁ",IF(AND(F308&lt;&gt;"",COUNTIF($F$3:F308,F308)&gt;1),"REPETIDO","")))</f>
        <v/>
      </c>
      <c r="J308" s="8">
        <f>IF(OR(B308="",I308&lt;&gt;""),"",IF(MOD(COUNTIFS($B$3:B308,"&lt;&gt;",$I$3:I308,""),2)=1,"Carlos","Joaquín"))</f>
        <v/>
      </c>
      <c r="K308" s="11" t="n"/>
      <c r="L308" s="11" t="n"/>
      <c r="M308" s="11" t="n"/>
      <c r="N308" s="11" t="n"/>
      <c r="O308" s="11" t="n"/>
      <c r="P308" s="8">
        <f>IF(J308="","",IF(K308="Sale","Descartado",IF(L308="Sale","Descartado",IF(OR(M308="Q3",M308="Q4",M308="No aparece"),"Descartado",IF(N308="Sale","Descartado",IF(O308="Sigue","APROBADO","En proceso"))))))</f>
        <v/>
      </c>
    </row>
    <row r="309" ht="15" customHeight="1">
      <c r="A309" s="8">
        <f>IF(B309="","",ROW()-2)</f>
        <v/>
      </c>
      <c r="B309" s="9" t="n"/>
      <c r="C309" s="9" t="n"/>
      <c r="D309" s="12" t="n"/>
      <c r="E309" s="9" t="n"/>
      <c r="F309" s="9" t="n"/>
      <c r="G309" s="9" t="n"/>
      <c r="H309" s="12" t="n"/>
      <c r="I309" s="8">
        <f>IF(B309="","",IF(AND(F309&lt;&gt;"",SUMPRODUCT(--ISNUMBER(SEARCH(Preseleccionados!$A$2:$A$11,F309)))&gt;0),"YA ESTÁ",IF(AND(F309&lt;&gt;"",COUNTIF($F$3:F309,F309)&gt;1),"REPETIDO","")))</f>
        <v/>
      </c>
      <c r="J309" s="8">
        <f>IF(OR(B309="",I309&lt;&gt;""),"",IF(MOD(COUNTIFS($B$3:B309,"&lt;&gt;",$I$3:I309,""),2)=1,"Carlos","Joaquín"))</f>
        <v/>
      </c>
      <c r="K309" s="11" t="n"/>
      <c r="L309" s="11" t="n"/>
      <c r="M309" s="11" t="n"/>
      <c r="N309" s="11" t="n"/>
      <c r="O309" s="11" t="n"/>
      <c r="P309" s="8">
        <f>IF(J309="","",IF(K309="Sale","Descartado",IF(L309="Sale","Descartado",IF(OR(M309="Q3",M309="Q4",M309="No aparece"),"Descartado",IF(N309="Sale","Descartado",IF(O309="Sigue","APROBADO","En proceso"))))))</f>
        <v/>
      </c>
    </row>
    <row r="310" ht="15" customHeight="1">
      <c r="A310" s="8">
        <f>IF(B310="","",ROW()-2)</f>
        <v/>
      </c>
      <c r="B310" s="9" t="n"/>
      <c r="C310" s="9" t="n"/>
      <c r="D310" s="12" t="n"/>
      <c r="E310" s="9" t="n"/>
      <c r="F310" s="9" t="n"/>
      <c r="G310" s="9" t="n"/>
      <c r="H310" s="12" t="n"/>
      <c r="I310" s="8">
        <f>IF(B310="","",IF(AND(F310&lt;&gt;"",SUMPRODUCT(--ISNUMBER(SEARCH(Preseleccionados!$A$2:$A$11,F310)))&gt;0),"YA ESTÁ",IF(AND(F310&lt;&gt;"",COUNTIF($F$3:F310,F310)&gt;1),"REPETIDO","")))</f>
        <v/>
      </c>
      <c r="J310" s="8">
        <f>IF(OR(B310="",I310&lt;&gt;""),"",IF(MOD(COUNTIFS($B$3:B310,"&lt;&gt;",$I$3:I310,""),2)=1,"Carlos","Joaquín"))</f>
        <v/>
      </c>
      <c r="K310" s="11" t="n"/>
      <c r="L310" s="11" t="n"/>
      <c r="M310" s="11" t="n"/>
      <c r="N310" s="11" t="n"/>
      <c r="O310" s="11" t="n"/>
      <c r="P310" s="8">
        <f>IF(J310="","",IF(K310="Sale","Descartado",IF(L310="Sale","Descartado",IF(OR(M310="Q3",M310="Q4",M310="No aparece"),"Descartado",IF(N310="Sale","Descartado",IF(O310="Sigue","APROBADO","En proceso"))))))</f>
        <v/>
      </c>
    </row>
    <row r="311" ht="15" customHeight="1">
      <c r="A311" s="8">
        <f>IF(B311="","",ROW()-2)</f>
        <v/>
      </c>
      <c r="B311" s="9" t="n"/>
      <c r="C311" s="9" t="n"/>
      <c r="D311" s="12" t="n"/>
      <c r="E311" s="9" t="n"/>
      <c r="F311" s="9" t="n"/>
      <c r="G311" s="9" t="n"/>
      <c r="H311" s="12" t="n"/>
      <c r="I311" s="8">
        <f>IF(B311="","",IF(AND(F311&lt;&gt;"",SUMPRODUCT(--ISNUMBER(SEARCH(Preseleccionados!$A$2:$A$11,F311)))&gt;0),"YA ESTÁ",IF(AND(F311&lt;&gt;"",COUNTIF($F$3:F311,F311)&gt;1),"REPETIDO","")))</f>
        <v/>
      </c>
      <c r="J311" s="8">
        <f>IF(OR(B311="",I311&lt;&gt;""),"",IF(MOD(COUNTIFS($B$3:B311,"&lt;&gt;",$I$3:I311,""),2)=1,"Carlos","Joaquín"))</f>
        <v/>
      </c>
      <c r="K311" s="11" t="n"/>
      <c r="L311" s="11" t="n"/>
      <c r="M311" s="11" t="n"/>
      <c r="N311" s="11" t="n"/>
      <c r="O311" s="11" t="n"/>
      <c r="P311" s="8">
        <f>IF(J311="","",IF(K311="Sale","Descartado",IF(L311="Sale","Descartado",IF(OR(M311="Q3",M311="Q4",M311="No aparece"),"Descartado",IF(N311="Sale","Descartado",IF(O311="Sigue","APROBADO","En proceso"))))))</f>
        <v/>
      </c>
    </row>
    <row r="312" ht="15" customHeight="1">
      <c r="A312" s="8">
        <f>IF(B312="","",ROW()-2)</f>
        <v/>
      </c>
      <c r="B312" s="9" t="n"/>
      <c r="C312" s="9" t="n"/>
      <c r="D312" s="12" t="n"/>
      <c r="E312" s="9" t="n"/>
      <c r="F312" s="9" t="n"/>
      <c r="G312" s="9" t="n"/>
      <c r="H312" s="12" t="n"/>
      <c r="I312" s="8">
        <f>IF(B312="","",IF(AND(F312&lt;&gt;"",SUMPRODUCT(--ISNUMBER(SEARCH(Preseleccionados!$A$2:$A$11,F312)))&gt;0),"YA ESTÁ",IF(AND(F312&lt;&gt;"",COUNTIF($F$3:F312,F312)&gt;1),"REPETIDO","")))</f>
        <v/>
      </c>
      <c r="J312" s="8">
        <f>IF(OR(B312="",I312&lt;&gt;""),"",IF(MOD(COUNTIFS($B$3:B312,"&lt;&gt;",$I$3:I312,""),2)=1,"Carlos","Joaquín"))</f>
        <v/>
      </c>
      <c r="K312" s="11" t="n"/>
      <c r="L312" s="11" t="n"/>
      <c r="M312" s="11" t="n"/>
      <c r="N312" s="11" t="n"/>
      <c r="O312" s="11" t="n"/>
      <c r="P312" s="8">
        <f>IF(J312="","",IF(K312="Sale","Descartado",IF(L312="Sale","Descartado",IF(OR(M312="Q3",M312="Q4",M312="No aparece"),"Descartado",IF(N312="Sale","Descartado",IF(O312="Sigue","APROBADO","En proceso"))))))</f>
        <v/>
      </c>
    </row>
    <row r="313" ht="15" customHeight="1">
      <c r="A313" s="8">
        <f>IF(B313="","",ROW()-2)</f>
        <v/>
      </c>
      <c r="B313" s="9" t="n"/>
      <c r="C313" s="9" t="n"/>
      <c r="D313" s="12" t="n"/>
      <c r="E313" s="9" t="n"/>
      <c r="F313" s="9" t="n"/>
      <c r="G313" s="9" t="n"/>
      <c r="H313" s="12" t="n"/>
      <c r="I313" s="8">
        <f>IF(B313="","",IF(AND(F313&lt;&gt;"",SUMPRODUCT(--ISNUMBER(SEARCH(Preseleccionados!$A$2:$A$11,F313)))&gt;0),"YA ESTÁ",IF(AND(F313&lt;&gt;"",COUNTIF($F$3:F313,F313)&gt;1),"REPETIDO","")))</f>
        <v/>
      </c>
      <c r="J313" s="8">
        <f>IF(OR(B313="",I313&lt;&gt;""),"",IF(MOD(COUNTIFS($B$3:B313,"&lt;&gt;",$I$3:I313,""),2)=1,"Carlos","Joaquín"))</f>
        <v/>
      </c>
      <c r="K313" s="11" t="n"/>
      <c r="L313" s="11" t="n"/>
      <c r="M313" s="11" t="n"/>
      <c r="N313" s="11" t="n"/>
      <c r="O313" s="11" t="n"/>
      <c r="P313" s="8">
        <f>IF(J313="","",IF(K313="Sale","Descartado",IF(L313="Sale","Descartado",IF(OR(M313="Q3",M313="Q4",M313="No aparece"),"Descartado",IF(N313="Sale","Descartado",IF(O313="Sigue","APROBADO","En proceso"))))))</f>
        <v/>
      </c>
    </row>
    <row r="314" ht="15" customHeight="1">
      <c r="A314" s="8">
        <f>IF(B314="","",ROW()-2)</f>
        <v/>
      </c>
      <c r="B314" s="9" t="n"/>
      <c r="C314" s="9" t="n"/>
      <c r="D314" s="12" t="n"/>
      <c r="E314" s="9" t="n"/>
      <c r="F314" s="9" t="n"/>
      <c r="G314" s="9" t="n"/>
      <c r="H314" s="12" t="n"/>
      <c r="I314" s="8">
        <f>IF(B314="","",IF(AND(F314&lt;&gt;"",SUMPRODUCT(--ISNUMBER(SEARCH(Preseleccionados!$A$2:$A$11,F314)))&gt;0),"YA ESTÁ",IF(AND(F314&lt;&gt;"",COUNTIF($F$3:F314,F314)&gt;1),"REPETIDO","")))</f>
        <v/>
      </c>
      <c r="J314" s="8">
        <f>IF(OR(B314="",I314&lt;&gt;""),"",IF(MOD(COUNTIFS($B$3:B314,"&lt;&gt;",$I$3:I314,""),2)=1,"Carlos","Joaquín"))</f>
        <v/>
      </c>
      <c r="K314" s="11" t="n"/>
      <c r="L314" s="11" t="n"/>
      <c r="M314" s="11" t="n"/>
      <c r="N314" s="11" t="n"/>
      <c r="O314" s="11" t="n"/>
      <c r="P314" s="8">
        <f>IF(J314="","",IF(K314="Sale","Descartado",IF(L314="Sale","Descartado",IF(OR(M314="Q3",M314="Q4",M314="No aparece"),"Descartado",IF(N314="Sale","Descartado",IF(O314="Sigue","APROBADO","En proceso"))))))</f>
        <v/>
      </c>
    </row>
    <row r="315" ht="15" customHeight="1">
      <c r="A315" s="8">
        <f>IF(B315="","",ROW()-2)</f>
        <v/>
      </c>
      <c r="B315" s="9" t="n"/>
      <c r="C315" s="9" t="n"/>
      <c r="D315" s="12" t="n"/>
      <c r="E315" s="9" t="n"/>
      <c r="F315" s="9" t="n"/>
      <c r="G315" s="9" t="n"/>
      <c r="H315" s="12" t="n"/>
      <c r="I315" s="8">
        <f>IF(B315="","",IF(AND(F315&lt;&gt;"",SUMPRODUCT(--ISNUMBER(SEARCH(Preseleccionados!$A$2:$A$11,F315)))&gt;0),"YA ESTÁ",IF(AND(F315&lt;&gt;"",COUNTIF($F$3:F315,F315)&gt;1),"REPETIDO","")))</f>
        <v/>
      </c>
      <c r="J315" s="8">
        <f>IF(OR(B315="",I315&lt;&gt;""),"",IF(MOD(COUNTIFS($B$3:B315,"&lt;&gt;",$I$3:I315,""),2)=1,"Carlos","Joaquín"))</f>
        <v/>
      </c>
      <c r="K315" s="11" t="n"/>
      <c r="L315" s="11" t="n"/>
      <c r="M315" s="11" t="n"/>
      <c r="N315" s="11" t="n"/>
      <c r="O315" s="11" t="n"/>
      <c r="P315" s="8">
        <f>IF(J315="","",IF(K315="Sale","Descartado",IF(L315="Sale","Descartado",IF(OR(M315="Q3",M315="Q4",M315="No aparece"),"Descartado",IF(N315="Sale","Descartado",IF(O315="Sigue","APROBADO","En proceso"))))))</f>
        <v/>
      </c>
    </row>
    <row r="316" ht="15" customHeight="1">
      <c r="A316" s="8">
        <f>IF(B316="","",ROW()-2)</f>
        <v/>
      </c>
      <c r="B316" s="9" t="n"/>
      <c r="C316" s="9" t="n"/>
      <c r="D316" s="12" t="n"/>
      <c r="E316" s="9" t="n"/>
      <c r="F316" s="9" t="n"/>
      <c r="G316" s="9" t="n"/>
      <c r="H316" s="12" t="n"/>
      <c r="I316" s="8">
        <f>IF(B316="","",IF(AND(F316&lt;&gt;"",SUMPRODUCT(--ISNUMBER(SEARCH(Preseleccionados!$A$2:$A$11,F316)))&gt;0),"YA ESTÁ",IF(AND(F316&lt;&gt;"",COUNTIF($F$3:F316,F316)&gt;1),"REPETIDO","")))</f>
        <v/>
      </c>
      <c r="J316" s="8">
        <f>IF(OR(B316="",I316&lt;&gt;""),"",IF(MOD(COUNTIFS($B$3:B316,"&lt;&gt;",$I$3:I316,""),2)=1,"Carlos","Joaquín"))</f>
        <v/>
      </c>
      <c r="K316" s="11" t="n"/>
      <c r="L316" s="11" t="n"/>
      <c r="M316" s="11" t="n"/>
      <c r="N316" s="11" t="n"/>
      <c r="O316" s="11" t="n"/>
      <c r="P316" s="8">
        <f>IF(J316="","",IF(K316="Sale","Descartado",IF(L316="Sale","Descartado",IF(OR(M316="Q3",M316="Q4",M316="No aparece"),"Descartado",IF(N316="Sale","Descartado",IF(O316="Sigue","APROBADO","En proceso"))))))</f>
        <v/>
      </c>
    </row>
    <row r="317" ht="15" customHeight="1">
      <c r="A317" s="8">
        <f>IF(B317="","",ROW()-2)</f>
        <v/>
      </c>
      <c r="B317" s="9" t="n"/>
      <c r="C317" s="9" t="n"/>
      <c r="D317" s="12" t="n"/>
      <c r="E317" s="9" t="n"/>
      <c r="F317" s="9" t="n"/>
      <c r="G317" s="9" t="n"/>
      <c r="H317" s="12" t="n"/>
      <c r="I317" s="8">
        <f>IF(B317="","",IF(AND(F317&lt;&gt;"",SUMPRODUCT(--ISNUMBER(SEARCH(Preseleccionados!$A$2:$A$11,F317)))&gt;0),"YA ESTÁ",IF(AND(F317&lt;&gt;"",COUNTIF($F$3:F317,F317)&gt;1),"REPETIDO","")))</f>
        <v/>
      </c>
      <c r="J317" s="8">
        <f>IF(OR(B317="",I317&lt;&gt;""),"",IF(MOD(COUNTIFS($B$3:B317,"&lt;&gt;",$I$3:I317,""),2)=1,"Carlos","Joaquín"))</f>
        <v/>
      </c>
      <c r="K317" s="11" t="n"/>
      <c r="L317" s="11" t="n"/>
      <c r="M317" s="11" t="n"/>
      <c r="N317" s="11" t="n"/>
      <c r="O317" s="11" t="n"/>
      <c r="P317" s="8">
        <f>IF(J317="","",IF(K317="Sale","Descartado",IF(L317="Sale","Descartado",IF(OR(M317="Q3",M317="Q4",M317="No aparece"),"Descartado",IF(N317="Sale","Descartado",IF(O317="Sigue","APROBADO","En proceso"))))))</f>
        <v/>
      </c>
    </row>
    <row r="318" ht="15" customHeight="1">
      <c r="A318" s="8">
        <f>IF(B318="","",ROW()-2)</f>
        <v/>
      </c>
      <c r="B318" s="9" t="n"/>
      <c r="C318" s="9" t="n"/>
      <c r="D318" s="12" t="n"/>
      <c r="E318" s="9" t="n"/>
      <c r="F318" s="9" t="n"/>
      <c r="G318" s="9" t="n"/>
      <c r="H318" s="12" t="n"/>
      <c r="I318" s="8">
        <f>IF(B318="","",IF(AND(F318&lt;&gt;"",SUMPRODUCT(--ISNUMBER(SEARCH(Preseleccionados!$A$2:$A$11,F318)))&gt;0),"YA ESTÁ",IF(AND(F318&lt;&gt;"",COUNTIF($F$3:F318,F318)&gt;1),"REPETIDO","")))</f>
        <v/>
      </c>
      <c r="J318" s="8">
        <f>IF(OR(B318="",I318&lt;&gt;""),"",IF(MOD(COUNTIFS($B$3:B318,"&lt;&gt;",$I$3:I318,""),2)=1,"Carlos","Joaquín"))</f>
        <v/>
      </c>
      <c r="K318" s="11" t="n"/>
      <c r="L318" s="11" t="n"/>
      <c r="M318" s="11" t="n"/>
      <c r="N318" s="11" t="n"/>
      <c r="O318" s="11" t="n"/>
      <c r="P318" s="8">
        <f>IF(J318="","",IF(K318="Sale","Descartado",IF(L318="Sale","Descartado",IF(OR(M318="Q3",M318="Q4",M318="No aparece"),"Descartado",IF(N318="Sale","Descartado",IF(O318="Sigue","APROBADO","En proceso"))))))</f>
        <v/>
      </c>
    </row>
    <row r="319" ht="15" customHeight="1">
      <c r="A319" s="8">
        <f>IF(B319="","",ROW()-2)</f>
        <v/>
      </c>
      <c r="B319" s="9" t="n"/>
      <c r="C319" s="9" t="n"/>
      <c r="D319" s="12" t="n"/>
      <c r="E319" s="9" t="n"/>
      <c r="F319" s="9" t="n"/>
      <c r="G319" s="9" t="n"/>
      <c r="H319" s="12" t="n"/>
      <c r="I319" s="8">
        <f>IF(B319="","",IF(AND(F319&lt;&gt;"",SUMPRODUCT(--ISNUMBER(SEARCH(Preseleccionados!$A$2:$A$11,F319)))&gt;0),"YA ESTÁ",IF(AND(F319&lt;&gt;"",COUNTIF($F$3:F319,F319)&gt;1),"REPETIDO","")))</f>
        <v/>
      </c>
      <c r="J319" s="8">
        <f>IF(OR(B319="",I319&lt;&gt;""),"",IF(MOD(COUNTIFS($B$3:B319,"&lt;&gt;",$I$3:I319,""),2)=1,"Carlos","Joaquín"))</f>
        <v/>
      </c>
      <c r="K319" s="11" t="n"/>
      <c r="L319" s="11" t="n"/>
      <c r="M319" s="11" t="n"/>
      <c r="N319" s="11" t="n"/>
      <c r="O319" s="11" t="n"/>
      <c r="P319" s="8">
        <f>IF(J319="","",IF(K319="Sale","Descartado",IF(L319="Sale","Descartado",IF(OR(M319="Q3",M319="Q4",M319="No aparece"),"Descartado",IF(N319="Sale","Descartado",IF(O319="Sigue","APROBADO","En proceso"))))))</f>
        <v/>
      </c>
    </row>
    <row r="320" ht="15" customHeight="1">
      <c r="A320" s="8">
        <f>IF(B320="","",ROW()-2)</f>
        <v/>
      </c>
      <c r="B320" s="9" t="n"/>
      <c r="C320" s="9" t="n"/>
      <c r="D320" s="12" t="n"/>
      <c r="E320" s="9" t="n"/>
      <c r="F320" s="9" t="n"/>
      <c r="G320" s="9" t="n"/>
      <c r="H320" s="12" t="n"/>
      <c r="I320" s="8">
        <f>IF(B320="","",IF(AND(F320&lt;&gt;"",SUMPRODUCT(--ISNUMBER(SEARCH(Preseleccionados!$A$2:$A$11,F320)))&gt;0),"YA ESTÁ",IF(AND(F320&lt;&gt;"",COUNTIF($F$3:F320,F320)&gt;1),"REPETIDO","")))</f>
        <v/>
      </c>
      <c r="J320" s="8">
        <f>IF(OR(B320="",I320&lt;&gt;""),"",IF(MOD(COUNTIFS($B$3:B320,"&lt;&gt;",$I$3:I320,""),2)=1,"Carlos","Joaquín"))</f>
        <v/>
      </c>
      <c r="K320" s="11" t="n"/>
      <c r="L320" s="11" t="n"/>
      <c r="M320" s="11" t="n"/>
      <c r="N320" s="11" t="n"/>
      <c r="O320" s="11" t="n"/>
      <c r="P320" s="8">
        <f>IF(J320="","",IF(K320="Sale","Descartado",IF(L320="Sale","Descartado",IF(OR(M320="Q3",M320="Q4",M320="No aparece"),"Descartado",IF(N320="Sale","Descartado",IF(O320="Sigue","APROBADO","En proceso"))))))</f>
        <v/>
      </c>
    </row>
    <row r="321" ht="15" customHeight="1">
      <c r="A321" s="8">
        <f>IF(B321="","",ROW()-2)</f>
        <v/>
      </c>
      <c r="B321" s="9" t="n"/>
      <c r="C321" s="9" t="n"/>
      <c r="D321" s="12" t="n"/>
      <c r="E321" s="9" t="n"/>
      <c r="F321" s="9" t="n"/>
      <c r="G321" s="9" t="n"/>
      <c r="H321" s="12" t="n"/>
      <c r="I321" s="8">
        <f>IF(B321="","",IF(AND(F321&lt;&gt;"",SUMPRODUCT(--ISNUMBER(SEARCH(Preseleccionados!$A$2:$A$11,F321)))&gt;0),"YA ESTÁ",IF(AND(F321&lt;&gt;"",COUNTIF($F$3:F321,F321)&gt;1),"REPETIDO","")))</f>
        <v/>
      </c>
      <c r="J321" s="8">
        <f>IF(OR(B321="",I321&lt;&gt;""),"",IF(MOD(COUNTIFS($B$3:B321,"&lt;&gt;",$I$3:I321,""),2)=1,"Carlos","Joaquín"))</f>
        <v/>
      </c>
      <c r="K321" s="11" t="n"/>
      <c r="L321" s="11" t="n"/>
      <c r="M321" s="11" t="n"/>
      <c r="N321" s="11" t="n"/>
      <c r="O321" s="11" t="n"/>
      <c r="P321" s="8">
        <f>IF(J321="","",IF(K321="Sale","Descartado",IF(L321="Sale","Descartado",IF(OR(M321="Q3",M321="Q4",M321="No aparece"),"Descartado",IF(N321="Sale","Descartado",IF(O321="Sigue","APROBADO","En proceso"))))))</f>
        <v/>
      </c>
    </row>
    <row r="322" ht="15" customHeight="1">
      <c r="A322" s="8">
        <f>IF(B322="","",ROW()-2)</f>
        <v/>
      </c>
      <c r="B322" s="9" t="n"/>
      <c r="C322" s="9" t="n"/>
      <c r="D322" s="12" t="n"/>
      <c r="E322" s="9" t="n"/>
      <c r="F322" s="9" t="n"/>
      <c r="G322" s="9" t="n"/>
      <c r="H322" s="12" t="n"/>
      <c r="I322" s="8">
        <f>IF(B322="","",IF(AND(F322&lt;&gt;"",SUMPRODUCT(--ISNUMBER(SEARCH(Preseleccionados!$A$2:$A$11,F322)))&gt;0),"YA ESTÁ",IF(AND(F322&lt;&gt;"",COUNTIF($F$3:F322,F322)&gt;1),"REPETIDO","")))</f>
        <v/>
      </c>
      <c r="J322" s="8">
        <f>IF(OR(B322="",I322&lt;&gt;""),"",IF(MOD(COUNTIFS($B$3:B322,"&lt;&gt;",$I$3:I322,""),2)=1,"Carlos","Joaquín"))</f>
        <v/>
      </c>
      <c r="K322" s="11" t="n"/>
      <c r="L322" s="11" t="n"/>
      <c r="M322" s="11" t="n"/>
      <c r="N322" s="11" t="n"/>
      <c r="O322" s="11" t="n"/>
      <c r="P322" s="8">
        <f>IF(J322="","",IF(K322="Sale","Descartado",IF(L322="Sale","Descartado",IF(OR(M322="Q3",M322="Q4",M322="No aparece"),"Descartado",IF(N322="Sale","Descartado",IF(O322="Sigue","APROBADO","En proceso"))))))</f>
        <v/>
      </c>
    </row>
    <row r="323" ht="15" customHeight="1">
      <c r="A323" s="8">
        <f>IF(B323="","",ROW()-2)</f>
        <v/>
      </c>
      <c r="B323" s="9" t="n"/>
      <c r="C323" s="9" t="n"/>
      <c r="D323" s="12" t="n"/>
      <c r="E323" s="9" t="n"/>
      <c r="F323" s="9" t="n"/>
      <c r="G323" s="9" t="n"/>
      <c r="H323" s="12" t="n"/>
      <c r="I323" s="8">
        <f>IF(B323="","",IF(AND(F323&lt;&gt;"",SUMPRODUCT(--ISNUMBER(SEARCH(Preseleccionados!$A$2:$A$11,F323)))&gt;0),"YA ESTÁ",IF(AND(F323&lt;&gt;"",COUNTIF($F$3:F323,F323)&gt;1),"REPETIDO","")))</f>
        <v/>
      </c>
      <c r="J323" s="8">
        <f>IF(OR(B323="",I323&lt;&gt;""),"",IF(MOD(COUNTIFS($B$3:B323,"&lt;&gt;",$I$3:I323,""),2)=1,"Carlos","Joaquín"))</f>
        <v/>
      </c>
      <c r="K323" s="11" t="n"/>
      <c r="L323" s="11" t="n"/>
      <c r="M323" s="11" t="n"/>
      <c r="N323" s="11" t="n"/>
      <c r="O323" s="11" t="n"/>
      <c r="P323" s="8">
        <f>IF(J323="","",IF(K323="Sale","Descartado",IF(L323="Sale","Descartado",IF(OR(M323="Q3",M323="Q4",M323="No aparece"),"Descartado",IF(N323="Sale","Descartado",IF(O323="Sigue","APROBADO","En proceso"))))))</f>
        <v/>
      </c>
    </row>
    <row r="324" ht="15" customHeight="1">
      <c r="A324" s="8">
        <f>IF(B324="","",ROW()-2)</f>
        <v/>
      </c>
      <c r="B324" s="9" t="n"/>
      <c r="C324" s="9" t="n"/>
      <c r="D324" s="12" t="n"/>
      <c r="E324" s="9" t="n"/>
      <c r="F324" s="9" t="n"/>
      <c r="G324" s="9" t="n"/>
      <c r="H324" s="12" t="n"/>
      <c r="I324" s="8">
        <f>IF(B324="","",IF(AND(F324&lt;&gt;"",SUMPRODUCT(--ISNUMBER(SEARCH(Preseleccionados!$A$2:$A$11,F324)))&gt;0),"YA ESTÁ",IF(AND(F324&lt;&gt;"",COUNTIF($F$3:F324,F324)&gt;1),"REPETIDO","")))</f>
        <v/>
      </c>
      <c r="J324" s="8">
        <f>IF(OR(B324="",I324&lt;&gt;""),"",IF(MOD(COUNTIFS($B$3:B324,"&lt;&gt;",$I$3:I324,""),2)=1,"Carlos","Joaquín"))</f>
        <v/>
      </c>
      <c r="K324" s="11" t="n"/>
      <c r="L324" s="11" t="n"/>
      <c r="M324" s="11" t="n"/>
      <c r="N324" s="11" t="n"/>
      <c r="O324" s="11" t="n"/>
      <c r="P324" s="8">
        <f>IF(J324="","",IF(K324="Sale","Descartado",IF(L324="Sale","Descartado",IF(OR(M324="Q3",M324="Q4",M324="No aparece"),"Descartado",IF(N324="Sale","Descartado",IF(O324="Sigue","APROBADO","En proceso"))))))</f>
        <v/>
      </c>
    </row>
    <row r="325" ht="15" customHeight="1">
      <c r="A325" s="8">
        <f>IF(B325="","",ROW()-2)</f>
        <v/>
      </c>
      <c r="B325" s="9" t="n"/>
      <c r="C325" s="9" t="n"/>
      <c r="D325" s="12" t="n"/>
      <c r="E325" s="9" t="n"/>
      <c r="F325" s="9" t="n"/>
      <c r="G325" s="9" t="n"/>
      <c r="H325" s="12" t="n"/>
      <c r="I325" s="8">
        <f>IF(B325="","",IF(AND(F325&lt;&gt;"",SUMPRODUCT(--ISNUMBER(SEARCH(Preseleccionados!$A$2:$A$11,F325)))&gt;0),"YA ESTÁ",IF(AND(F325&lt;&gt;"",COUNTIF($F$3:F325,F325)&gt;1),"REPETIDO","")))</f>
        <v/>
      </c>
      <c r="J325" s="8">
        <f>IF(OR(B325="",I325&lt;&gt;""),"",IF(MOD(COUNTIFS($B$3:B325,"&lt;&gt;",$I$3:I325,""),2)=1,"Carlos","Joaquín"))</f>
        <v/>
      </c>
      <c r="K325" s="11" t="n"/>
      <c r="L325" s="11" t="n"/>
      <c r="M325" s="11" t="n"/>
      <c r="N325" s="11" t="n"/>
      <c r="O325" s="11" t="n"/>
      <c r="P325" s="8">
        <f>IF(J325="","",IF(K325="Sale","Descartado",IF(L325="Sale","Descartado",IF(OR(M325="Q3",M325="Q4",M325="No aparece"),"Descartado",IF(N325="Sale","Descartado",IF(O325="Sigue","APROBADO","En proceso"))))))</f>
        <v/>
      </c>
    </row>
    <row r="326" ht="15" customHeight="1">
      <c r="A326" s="8">
        <f>IF(B326="","",ROW()-2)</f>
        <v/>
      </c>
      <c r="B326" s="9" t="n"/>
      <c r="C326" s="9" t="n"/>
      <c r="D326" s="12" t="n"/>
      <c r="E326" s="9" t="n"/>
      <c r="F326" s="9" t="n"/>
      <c r="G326" s="9" t="n"/>
      <c r="H326" s="12" t="n"/>
      <c r="I326" s="8">
        <f>IF(B326="","",IF(AND(F326&lt;&gt;"",SUMPRODUCT(--ISNUMBER(SEARCH(Preseleccionados!$A$2:$A$11,F326)))&gt;0),"YA ESTÁ",IF(AND(F326&lt;&gt;"",COUNTIF($F$3:F326,F326)&gt;1),"REPETIDO","")))</f>
        <v/>
      </c>
      <c r="J326" s="8">
        <f>IF(OR(B326="",I326&lt;&gt;""),"",IF(MOD(COUNTIFS($B$3:B326,"&lt;&gt;",$I$3:I326,""),2)=1,"Carlos","Joaquín"))</f>
        <v/>
      </c>
      <c r="K326" s="11" t="n"/>
      <c r="L326" s="11" t="n"/>
      <c r="M326" s="11" t="n"/>
      <c r="N326" s="11" t="n"/>
      <c r="O326" s="11" t="n"/>
      <c r="P326" s="8">
        <f>IF(J326="","",IF(K326="Sale","Descartado",IF(L326="Sale","Descartado",IF(OR(M326="Q3",M326="Q4",M326="No aparece"),"Descartado",IF(N326="Sale","Descartado",IF(O326="Sigue","APROBADO","En proceso"))))))</f>
        <v/>
      </c>
    </row>
    <row r="327" ht="15" customHeight="1">
      <c r="A327" s="8">
        <f>IF(B327="","",ROW()-2)</f>
        <v/>
      </c>
      <c r="B327" s="9" t="n"/>
      <c r="C327" s="9" t="n"/>
      <c r="D327" s="12" t="n"/>
      <c r="E327" s="9" t="n"/>
      <c r="F327" s="9" t="n"/>
      <c r="G327" s="9" t="n"/>
      <c r="H327" s="12" t="n"/>
      <c r="I327" s="8">
        <f>IF(B327="","",IF(AND(F327&lt;&gt;"",SUMPRODUCT(--ISNUMBER(SEARCH(Preseleccionados!$A$2:$A$11,F327)))&gt;0),"YA ESTÁ",IF(AND(F327&lt;&gt;"",COUNTIF($F$3:F327,F327)&gt;1),"REPETIDO","")))</f>
        <v/>
      </c>
      <c r="J327" s="8">
        <f>IF(OR(B327="",I327&lt;&gt;""),"",IF(MOD(COUNTIFS($B$3:B327,"&lt;&gt;",$I$3:I327,""),2)=1,"Carlos","Joaquín"))</f>
        <v/>
      </c>
      <c r="K327" s="11" t="n"/>
      <c r="L327" s="11" t="n"/>
      <c r="M327" s="11" t="n"/>
      <c r="N327" s="11" t="n"/>
      <c r="O327" s="11" t="n"/>
      <c r="P327" s="8">
        <f>IF(J327="","",IF(K327="Sale","Descartado",IF(L327="Sale","Descartado",IF(OR(M327="Q3",M327="Q4",M327="No aparece"),"Descartado",IF(N327="Sale","Descartado",IF(O327="Sigue","APROBADO","En proceso"))))))</f>
        <v/>
      </c>
    </row>
    <row r="328" ht="15" customHeight="1">
      <c r="A328" s="8">
        <f>IF(B328="","",ROW()-2)</f>
        <v/>
      </c>
      <c r="B328" s="9" t="n"/>
      <c r="C328" s="9" t="n"/>
      <c r="D328" s="12" t="n"/>
      <c r="E328" s="9" t="n"/>
      <c r="F328" s="9" t="n"/>
      <c r="G328" s="9" t="n"/>
      <c r="H328" s="12" t="n"/>
      <c r="I328" s="8">
        <f>IF(B328="","",IF(AND(F328&lt;&gt;"",SUMPRODUCT(--ISNUMBER(SEARCH(Preseleccionados!$A$2:$A$11,F328)))&gt;0),"YA ESTÁ",IF(AND(F328&lt;&gt;"",COUNTIF($F$3:F328,F328)&gt;1),"REPETIDO","")))</f>
        <v/>
      </c>
      <c r="J328" s="8">
        <f>IF(OR(B328="",I328&lt;&gt;""),"",IF(MOD(COUNTIFS($B$3:B328,"&lt;&gt;",$I$3:I328,""),2)=1,"Carlos","Joaquín"))</f>
        <v/>
      </c>
      <c r="K328" s="11" t="n"/>
      <c r="L328" s="11" t="n"/>
      <c r="M328" s="11" t="n"/>
      <c r="N328" s="11" t="n"/>
      <c r="O328" s="11" t="n"/>
      <c r="P328" s="8">
        <f>IF(J328="","",IF(K328="Sale","Descartado",IF(L328="Sale","Descartado",IF(OR(M328="Q3",M328="Q4",M328="No aparece"),"Descartado",IF(N328="Sale","Descartado",IF(O328="Sigue","APROBADO","En proceso"))))))</f>
        <v/>
      </c>
    </row>
    <row r="329" ht="15" customHeight="1">
      <c r="A329" s="8">
        <f>IF(B329="","",ROW()-2)</f>
        <v/>
      </c>
      <c r="B329" s="9" t="n"/>
      <c r="C329" s="9" t="n"/>
      <c r="D329" s="12" t="n"/>
      <c r="E329" s="9" t="n"/>
      <c r="F329" s="9" t="n"/>
      <c r="G329" s="9" t="n"/>
      <c r="H329" s="12" t="n"/>
      <c r="I329" s="8">
        <f>IF(B329="","",IF(AND(F329&lt;&gt;"",SUMPRODUCT(--ISNUMBER(SEARCH(Preseleccionados!$A$2:$A$11,F329)))&gt;0),"YA ESTÁ",IF(AND(F329&lt;&gt;"",COUNTIF($F$3:F329,F329)&gt;1),"REPETIDO","")))</f>
        <v/>
      </c>
      <c r="J329" s="8">
        <f>IF(OR(B329="",I329&lt;&gt;""),"",IF(MOD(COUNTIFS($B$3:B329,"&lt;&gt;",$I$3:I329,""),2)=1,"Carlos","Joaquín"))</f>
        <v/>
      </c>
      <c r="K329" s="11" t="n"/>
      <c r="L329" s="11" t="n"/>
      <c r="M329" s="11" t="n"/>
      <c r="N329" s="11" t="n"/>
      <c r="O329" s="11" t="n"/>
      <c r="P329" s="8">
        <f>IF(J329="","",IF(K329="Sale","Descartado",IF(L329="Sale","Descartado",IF(OR(M329="Q3",M329="Q4",M329="No aparece"),"Descartado",IF(N329="Sale","Descartado",IF(O329="Sigue","APROBADO","En proceso"))))))</f>
        <v/>
      </c>
    </row>
    <row r="330" ht="15" customHeight="1">
      <c r="A330" s="8">
        <f>IF(B330="","",ROW()-2)</f>
        <v/>
      </c>
      <c r="B330" s="9" t="n"/>
      <c r="C330" s="9" t="n"/>
      <c r="D330" s="12" t="n"/>
      <c r="E330" s="9" t="n"/>
      <c r="F330" s="9" t="n"/>
      <c r="G330" s="9" t="n"/>
      <c r="H330" s="12" t="n"/>
      <c r="I330" s="8">
        <f>IF(B330="","",IF(AND(F330&lt;&gt;"",SUMPRODUCT(--ISNUMBER(SEARCH(Preseleccionados!$A$2:$A$11,F330)))&gt;0),"YA ESTÁ",IF(AND(F330&lt;&gt;"",COUNTIF($F$3:F330,F330)&gt;1),"REPETIDO","")))</f>
        <v/>
      </c>
      <c r="J330" s="8">
        <f>IF(OR(B330="",I330&lt;&gt;""),"",IF(MOD(COUNTIFS($B$3:B330,"&lt;&gt;",$I$3:I330,""),2)=1,"Carlos","Joaquín"))</f>
        <v/>
      </c>
      <c r="K330" s="11" t="n"/>
      <c r="L330" s="11" t="n"/>
      <c r="M330" s="11" t="n"/>
      <c r="N330" s="11" t="n"/>
      <c r="O330" s="11" t="n"/>
      <c r="P330" s="8">
        <f>IF(J330="","",IF(K330="Sale","Descartado",IF(L330="Sale","Descartado",IF(OR(M330="Q3",M330="Q4",M330="No aparece"),"Descartado",IF(N330="Sale","Descartado",IF(O330="Sigue","APROBADO","En proceso"))))))</f>
        <v/>
      </c>
    </row>
    <row r="331" ht="15" customHeight="1">
      <c r="A331" s="8">
        <f>IF(B331="","",ROW()-2)</f>
        <v/>
      </c>
      <c r="B331" s="9" t="n"/>
      <c r="C331" s="9" t="n"/>
      <c r="D331" s="12" t="n"/>
      <c r="E331" s="9" t="n"/>
      <c r="F331" s="9" t="n"/>
      <c r="G331" s="9" t="n"/>
      <c r="H331" s="12" t="n"/>
      <c r="I331" s="8">
        <f>IF(B331="","",IF(AND(F331&lt;&gt;"",SUMPRODUCT(--ISNUMBER(SEARCH(Preseleccionados!$A$2:$A$11,F331)))&gt;0),"YA ESTÁ",IF(AND(F331&lt;&gt;"",COUNTIF($F$3:F331,F331)&gt;1),"REPETIDO","")))</f>
        <v/>
      </c>
      <c r="J331" s="8">
        <f>IF(OR(B331="",I331&lt;&gt;""),"",IF(MOD(COUNTIFS($B$3:B331,"&lt;&gt;",$I$3:I331,""),2)=1,"Carlos","Joaquín"))</f>
        <v/>
      </c>
      <c r="K331" s="11" t="n"/>
      <c r="L331" s="11" t="n"/>
      <c r="M331" s="11" t="n"/>
      <c r="N331" s="11" t="n"/>
      <c r="O331" s="11" t="n"/>
      <c r="P331" s="8">
        <f>IF(J331="","",IF(K331="Sale","Descartado",IF(L331="Sale","Descartado",IF(OR(M331="Q3",M331="Q4",M331="No aparece"),"Descartado",IF(N331="Sale","Descartado",IF(O331="Sigue","APROBADO","En proceso"))))))</f>
        <v/>
      </c>
    </row>
    <row r="332" ht="15" customHeight="1">
      <c r="A332" s="8">
        <f>IF(B332="","",ROW()-2)</f>
        <v/>
      </c>
      <c r="B332" s="9" t="n"/>
      <c r="C332" s="9" t="n"/>
      <c r="D332" s="12" t="n"/>
      <c r="E332" s="9" t="n"/>
      <c r="F332" s="9" t="n"/>
      <c r="G332" s="9" t="n"/>
      <c r="H332" s="12" t="n"/>
      <c r="I332" s="8">
        <f>IF(B332="","",IF(AND(F332&lt;&gt;"",SUMPRODUCT(--ISNUMBER(SEARCH(Preseleccionados!$A$2:$A$11,F332)))&gt;0),"YA ESTÁ",IF(AND(F332&lt;&gt;"",COUNTIF($F$3:F332,F332)&gt;1),"REPETIDO","")))</f>
        <v/>
      </c>
      <c r="J332" s="8">
        <f>IF(OR(B332="",I332&lt;&gt;""),"",IF(MOD(COUNTIFS($B$3:B332,"&lt;&gt;",$I$3:I332,""),2)=1,"Carlos","Joaquín"))</f>
        <v/>
      </c>
      <c r="K332" s="11" t="n"/>
      <c r="L332" s="11" t="n"/>
      <c r="M332" s="11" t="n"/>
      <c r="N332" s="11" t="n"/>
      <c r="O332" s="11" t="n"/>
      <c r="P332" s="8">
        <f>IF(J332="","",IF(K332="Sale","Descartado",IF(L332="Sale","Descartado",IF(OR(M332="Q3",M332="Q4",M332="No aparece"),"Descartado",IF(N332="Sale","Descartado",IF(O332="Sigue","APROBADO","En proceso"))))))</f>
        <v/>
      </c>
    </row>
    <row r="333" ht="15" customHeight="1">
      <c r="A333" s="8">
        <f>IF(B333="","",ROW()-2)</f>
        <v/>
      </c>
      <c r="B333" s="9" t="n"/>
      <c r="C333" s="9" t="n"/>
      <c r="D333" s="12" t="n"/>
      <c r="E333" s="9" t="n"/>
      <c r="F333" s="9" t="n"/>
      <c r="G333" s="9" t="n"/>
      <c r="H333" s="12" t="n"/>
      <c r="I333" s="8">
        <f>IF(B333="","",IF(AND(F333&lt;&gt;"",SUMPRODUCT(--ISNUMBER(SEARCH(Preseleccionados!$A$2:$A$11,F333)))&gt;0),"YA ESTÁ",IF(AND(F333&lt;&gt;"",COUNTIF($F$3:F333,F333)&gt;1),"REPETIDO","")))</f>
        <v/>
      </c>
      <c r="J333" s="8">
        <f>IF(OR(B333="",I333&lt;&gt;""),"",IF(MOD(COUNTIFS($B$3:B333,"&lt;&gt;",$I$3:I333,""),2)=1,"Carlos","Joaquín"))</f>
        <v/>
      </c>
      <c r="K333" s="11" t="n"/>
      <c r="L333" s="11" t="n"/>
      <c r="M333" s="11" t="n"/>
      <c r="N333" s="11" t="n"/>
      <c r="O333" s="11" t="n"/>
      <c r="P333" s="8">
        <f>IF(J333="","",IF(K333="Sale","Descartado",IF(L333="Sale","Descartado",IF(OR(M333="Q3",M333="Q4",M333="No aparece"),"Descartado",IF(N333="Sale","Descartado",IF(O333="Sigue","APROBADO","En proceso"))))))</f>
        <v/>
      </c>
    </row>
    <row r="334" ht="15" customHeight="1">
      <c r="A334" s="8">
        <f>IF(B334="","",ROW()-2)</f>
        <v/>
      </c>
      <c r="B334" s="9" t="n"/>
      <c r="C334" s="9" t="n"/>
      <c r="D334" s="12" t="n"/>
      <c r="E334" s="9" t="n"/>
      <c r="F334" s="9" t="n"/>
      <c r="G334" s="9" t="n"/>
      <c r="H334" s="12" t="n"/>
      <c r="I334" s="8">
        <f>IF(B334="","",IF(AND(F334&lt;&gt;"",SUMPRODUCT(--ISNUMBER(SEARCH(Preseleccionados!$A$2:$A$11,F334)))&gt;0),"YA ESTÁ",IF(AND(F334&lt;&gt;"",COUNTIF($F$3:F334,F334)&gt;1),"REPETIDO","")))</f>
        <v/>
      </c>
      <c r="J334" s="8">
        <f>IF(OR(B334="",I334&lt;&gt;""),"",IF(MOD(COUNTIFS($B$3:B334,"&lt;&gt;",$I$3:I334,""),2)=1,"Carlos","Joaquín"))</f>
        <v/>
      </c>
      <c r="K334" s="11" t="n"/>
      <c r="L334" s="11" t="n"/>
      <c r="M334" s="11" t="n"/>
      <c r="N334" s="11" t="n"/>
      <c r="O334" s="11" t="n"/>
      <c r="P334" s="8">
        <f>IF(J334="","",IF(K334="Sale","Descartado",IF(L334="Sale","Descartado",IF(OR(M334="Q3",M334="Q4",M334="No aparece"),"Descartado",IF(N334="Sale","Descartado",IF(O334="Sigue","APROBADO","En proceso"))))))</f>
        <v/>
      </c>
    </row>
    <row r="335" ht="15" customHeight="1">
      <c r="A335" s="8">
        <f>IF(B335="","",ROW()-2)</f>
        <v/>
      </c>
      <c r="B335" s="9" t="n"/>
      <c r="C335" s="9" t="n"/>
      <c r="D335" s="12" t="n"/>
      <c r="E335" s="9" t="n"/>
      <c r="F335" s="9" t="n"/>
      <c r="G335" s="9" t="n"/>
      <c r="H335" s="12" t="n"/>
      <c r="I335" s="8">
        <f>IF(B335="","",IF(AND(F335&lt;&gt;"",SUMPRODUCT(--ISNUMBER(SEARCH(Preseleccionados!$A$2:$A$11,F335)))&gt;0),"YA ESTÁ",IF(AND(F335&lt;&gt;"",COUNTIF($F$3:F335,F335)&gt;1),"REPETIDO","")))</f>
        <v/>
      </c>
      <c r="J335" s="8">
        <f>IF(OR(B335="",I335&lt;&gt;""),"",IF(MOD(COUNTIFS($B$3:B335,"&lt;&gt;",$I$3:I335,""),2)=1,"Carlos","Joaquín"))</f>
        <v/>
      </c>
      <c r="K335" s="11" t="n"/>
      <c r="L335" s="11" t="n"/>
      <c r="M335" s="11" t="n"/>
      <c r="N335" s="11" t="n"/>
      <c r="O335" s="11" t="n"/>
      <c r="P335" s="8">
        <f>IF(J335="","",IF(K335="Sale","Descartado",IF(L335="Sale","Descartado",IF(OR(M335="Q3",M335="Q4",M335="No aparece"),"Descartado",IF(N335="Sale","Descartado",IF(O335="Sigue","APROBADO","En proceso"))))))</f>
        <v/>
      </c>
    </row>
    <row r="336" ht="15" customHeight="1">
      <c r="A336" s="8">
        <f>IF(B336="","",ROW()-2)</f>
        <v/>
      </c>
      <c r="B336" s="9" t="n"/>
      <c r="C336" s="9" t="n"/>
      <c r="D336" s="12" t="n"/>
      <c r="E336" s="9" t="n"/>
      <c r="F336" s="9" t="n"/>
      <c r="G336" s="9" t="n"/>
      <c r="H336" s="12" t="n"/>
      <c r="I336" s="8">
        <f>IF(B336="","",IF(AND(F336&lt;&gt;"",SUMPRODUCT(--ISNUMBER(SEARCH(Preseleccionados!$A$2:$A$11,F336)))&gt;0),"YA ESTÁ",IF(AND(F336&lt;&gt;"",COUNTIF($F$3:F336,F336)&gt;1),"REPETIDO","")))</f>
        <v/>
      </c>
      <c r="J336" s="8">
        <f>IF(OR(B336="",I336&lt;&gt;""),"",IF(MOD(COUNTIFS($B$3:B336,"&lt;&gt;",$I$3:I336,""),2)=1,"Carlos","Joaquín"))</f>
        <v/>
      </c>
      <c r="K336" s="11" t="n"/>
      <c r="L336" s="11" t="n"/>
      <c r="M336" s="11" t="n"/>
      <c r="N336" s="11" t="n"/>
      <c r="O336" s="11" t="n"/>
      <c r="P336" s="8">
        <f>IF(J336="","",IF(K336="Sale","Descartado",IF(L336="Sale","Descartado",IF(OR(M336="Q3",M336="Q4",M336="No aparece"),"Descartado",IF(N336="Sale","Descartado",IF(O336="Sigue","APROBADO","En proceso"))))))</f>
        <v/>
      </c>
    </row>
    <row r="337" ht="15" customHeight="1">
      <c r="A337" s="8">
        <f>IF(B337="","",ROW()-2)</f>
        <v/>
      </c>
      <c r="B337" s="9" t="n"/>
      <c r="C337" s="9" t="n"/>
      <c r="D337" s="12" t="n"/>
      <c r="E337" s="9" t="n"/>
      <c r="F337" s="9" t="n"/>
      <c r="G337" s="9" t="n"/>
      <c r="H337" s="12" t="n"/>
      <c r="I337" s="8">
        <f>IF(B337="","",IF(AND(F337&lt;&gt;"",SUMPRODUCT(--ISNUMBER(SEARCH(Preseleccionados!$A$2:$A$11,F337)))&gt;0),"YA ESTÁ",IF(AND(F337&lt;&gt;"",COUNTIF($F$3:F337,F337)&gt;1),"REPETIDO","")))</f>
        <v/>
      </c>
      <c r="J337" s="8">
        <f>IF(OR(B337="",I337&lt;&gt;""),"",IF(MOD(COUNTIFS($B$3:B337,"&lt;&gt;",$I$3:I337,""),2)=1,"Carlos","Joaquín"))</f>
        <v/>
      </c>
      <c r="K337" s="11" t="n"/>
      <c r="L337" s="11" t="n"/>
      <c r="M337" s="11" t="n"/>
      <c r="N337" s="11" t="n"/>
      <c r="O337" s="11" t="n"/>
      <c r="P337" s="8">
        <f>IF(J337="","",IF(K337="Sale","Descartado",IF(L337="Sale","Descartado",IF(OR(M337="Q3",M337="Q4",M337="No aparece"),"Descartado",IF(N337="Sale","Descartado",IF(O337="Sigue","APROBADO","En proceso"))))))</f>
        <v/>
      </c>
    </row>
    <row r="338" ht="15" customHeight="1">
      <c r="A338" s="8">
        <f>IF(B338="","",ROW()-2)</f>
        <v/>
      </c>
      <c r="B338" s="9" t="n"/>
      <c r="C338" s="9" t="n"/>
      <c r="D338" s="12" t="n"/>
      <c r="E338" s="9" t="n"/>
      <c r="F338" s="9" t="n"/>
      <c r="G338" s="9" t="n"/>
      <c r="H338" s="12" t="n"/>
      <c r="I338" s="8">
        <f>IF(B338="","",IF(AND(F338&lt;&gt;"",SUMPRODUCT(--ISNUMBER(SEARCH(Preseleccionados!$A$2:$A$11,F338)))&gt;0),"YA ESTÁ",IF(AND(F338&lt;&gt;"",COUNTIF($F$3:F338,F338)&gt;1),"REPETIDO","")))</f>
        <v/>
      </c>
      <c r="J338" s="8">
        <f>IF(OR(B338="",I338&lt;&gt;""),"",IF(MOD(COUNTIFS($B$3:B338,"&lt;&gt;",$I$3:I338,""),2)=1,"Carlos","Joaquín"))</f>
        <v/>
      </c>
      <c r="K338" s="11" t="n"/>
      <c r="L338" s="11" t="n"/>
      <c r="M338" s="11" t="n"/>
      <c r="N338" s="11" t="n"/>
      <c r="O338" s="11" t="n"/>
      <c r="P338" s="8">
        <f>IF(J338="","",IF(K338="Sale","Descartado",IF(L338="Sale","Descartado",IF(OR(M338="Q3",M338="Q4",M338="No aparece"),"Descartado",IF(N338="Sale","Descartado",IF(O338="Sigue","APROBADO","En proceso"))))))</f>
        <v/>
      </c>
    </row>
    <row r="339" ht="15" customHeight="1">
      <c r="A339" s="8">
        <f>IF(B339="","",ROW()-2)</f>
        <v/>
      </c>
      <c r="B339" s="9" t="n"/>
      <c r="C339" s="9" t="n"/>
      <c r="D339" s="12" t="n"/>
      <c r="E339" s="9" t="n"/>
      <c r="F339" s="9" t="n"/>
      <c r="G339" s="9" t="n"/>
      <c r="H339" s="12" t="n"/>
      <c r="I339" s="8">
        <f>IF(B339="","",IF(AND(F339&lt;&gt;"",SUMPRODUCT(--ISNUMBER(SEARCH(Preseleccionados!$A$2:$A$11,F339)))&gt;0),"YA ESTÁ",IF(AND(F339&lt;&gt;"",COUNTIF($F$3:F339,F339)&gt;1),"REPETIDO","")))</f>
        <v/>
      </c>
      <c r="J339" s="8">
        <f>IF(OR(B339="",I339&lt;&gt;""),"",IF(MOD(COUNTIFS($B$3:B339,"&lt;&gt;",$I$3:I339,""),2)=1,"Carlos","Joaquín"))</f>
        <v/>
      </c>
      <c r="K339" s="11" t="n"/>
      <c r="L339" s="11" t="n"/>
      <c r="M339" s="11" t="n"/>
      <c r="N339" s="11" t="n"/>
      <c r="O339" s="11" t="n"/>
      <c r="P339" s="8">
        <f>IF(J339="","",IF(K339="Sale","Descartado",IF(L339="Sale","Descartado",IF(OR(M339="Q3",M339="Q4",M339="No aparece"),"Descartado",IF(N339="Sale","Descartado",IF(O339="Sigue","APROBADO","En proceso"))))))</f>
        <v/>
      </c>
    </row>
    <row r="340" ht="15" customHeight="1">
      <c r="A340" s="8">
        <f>IF(B340="","",ROW()-2)</f>
        <v/>
      </c>
      <c r="B340" s="9" t="n"/>
      <c r="C340" s="9" t="n"/>
      <c r="D340" s="12" t="n"/>
      <c r="E340" s="9" t="n"/>
      <c r="F340" s="9" t="n"/>
      <c r="G340" s="9" t="n"/>
      <c r="H340" s="12" t="n"/>
      <c r="I340" s="8">
        <f>IF(B340="","",IF(AND(F340&lt;&gt;"",SUMPRODUCT(--ISNUMBER(SEARCH(Preseleccionados!$A$2:$A$11,F340)))&gt;0),"YA ESTÁ",IF(AND(F340&lt;&gt;"",COUNTIF($F$3:F340,F340)&gt;1),"REPETIDO","")))</f>
        <v/>
      </c>
      <c r="J340" s="8">
        <f>IF(OR(B340="",I340&lt;&gt;""),"",IF(MOD(COUNTIFS($B$3:B340,"&lt;&gt;",$I$3:I340,""),2)=1,"Carlos","Joaquín"))</f>
        <v/>
      </c>
      <c r="K340" s="11" t="n"/>
      <c r="L340" s="11" t="n"/>
      <c r="M340" s="11" t="n"/>
      <c r="N340" s="11" t="n"/>
      <c r="O340" s="11" t="n"/>
      <c r="P340" s="8">
        <f>IF(J340="","",IF(K340="Sale","Descartado",IF(L340="Sale","Descartado",IF(OR(M340="Q3",M340="Q4",M340="No aparece"),"Descartado",IF(N340="Sale","Descartado",IF(O340="Sigue","APROBADO","En proceso"))))))</f>
        <v/>
      </c>
    </row>
    <row r="341" ht="15" customHeight="1">
      <c r="A341" s="8">
        <f>IF(B341="","",ROW()-2)</f>
        <v/>
      </c>
      <c r="B341" s="9" t="n"/>
      <c r="C341" s="9" t="n"/>
      <c r="D341" s="12" t="n"/>
      <c r="E341" s="9" t="n"/>
      <c r="F341" s="9" t="n"/>
      <c r="G341" s="9" t="n"/>
      <c r="H341" s="12" t="n"/>
      <c r="I341" s="8">
        <f>IF(B341="","",IF(AND(F341&lt;&gt;"",SUMPRODUCT(--ISNUMBER(SEARCH(Preseleccionados!$A$2:$A$11,F341)))&gt;0),"YA ESTÁ",IF(AND(F341&lt;&gt;"",COUNTIF($F$3:F341,F341)&gt;1),"REPETIDO","")))</f>
        <v/>
      </c>
      <c r="J341" s="8">
        <f>IF(OR(B341="",I341&lt;&gt;""),"",IF(MOD(COUNTIFS($B$3:B341,"&lt;&gt;",$I$3:I341,""),2)=1,"Carlos","Joaquín"))</f>
        <v/>
      </c>
      <c r="K341" s="11" t="n"/>
      <c r="L341" s="11" t="n"/>
      <c r="M341" s="11" t="n"/>
      <c r="N341" s="11" t="n"/>
      <c r="O341" s="11" t="n"/>
      <c r="P341" s="8">
        <f>IF(J341="","",IF(K341="Sale","Descartado",IF(L341="Sale","Descartado",IF(OR(M341="Q3",M341="Q4",M341="No aparece"),"Descartado",IF(N341="Sale","Descartado",IF(O341="Sigue","APROBADO","En proceso"))))))</f>
        <v/>
      </c>
    </row>
    <row r="342" ht="15" customHeight="1">
      <c r="A342" s="8">
        <f>IF(B342="","",ROW()-2)</f>
        <v/>
      </c>
      <c r="B342" s="9" t="n"/>
      <c r="C342" s="9" t="n"/>
      <c r="D342" s="12" t="n"/>
      <c r="E342" s="9" t="n"/>
      <c r="F342" s="9" t="n"/>
      <c r="G342" s="9" t="n"/>
      <c r="H342" s="12" t="n"/>
      <c r="I342" s="8">
        <f>IF(B342="","",IF(AND(F342&lt;&gt;"",SUMPRODUCT(--ISNUMBER(SEARCH(Preseleccionados!$A$2:$A$11,F342)))&gt;0),"YA ESTÁ",IF(AND(F342&lt;&gt;"",COUNTIF($F$3:F342,F342)&gt;1),"REPETIDO","")))</f>
        <v/>
      </c>
      <c r="J342" s="8">
        <f>IF(OR(B342="",I342&lt;&gt;""),"",IF(MOD(COUNTIFS($B$3:B342,"&lt;&gt;",$I$3:I342,""),2)=1,"Carlos","Joaquín"))</f>
        <v/>
      </c>
      <c r="K342" s="11" t="n"/>
      <c r="L342" s="11" t="n"/>
      <c r="M342" s="11" t="n"/>
      <c r="N342" s="11" t="n"/>
      <c r="O342" s="11" t="n"/>
      <c r="P342" s="8">
        <f>IF(J342="","",IF(K342="Sale","Descartado",IF(L342="Sale","Descartado",IF(OR(M342="Q3",M342="Q4",M342="No aparece"),"Descartado",IF(N342="Sale","Descartado",IF(O342="Sigue","APROBADO","En proceso"))))))</f>
        <v/>
      </c>
    </row>
    <row r="343" ht="15" customHeight="1">
      <c r="A343" s="8">
        <f>IF(B343="","",ROW()-2)</f>
        <v/>
      </c>
      <c r="B343" s="9" t="n"/>
      <c r="C343" s="9" t="n"/>
      <c r="D343" s="12" t="n"/>
      <c r="E343" s="9" t="n"/>
      <c r="F343" s="9" t="n"/>
      <c r="G343" s="9" t="n"/>
      <c r="H343" s="12" t="n"/>
      <c r="I343" s="8">
        <f>IF(B343="","",IF(AND(F343&lt;&gt;"",SUMPRODUCT(--ISNUMBER(SEARCH(Preseleccionados!$A$2:$A$11,F343)))&gt;0),"YA ESTÁ",IF(AND(F343&lt;&gt;"",COUNTIF($F$3:F343,F343)&gt;1),"REPETIDO","")))</f>
        <v/>
      </c>
      <c r="J343" s="8">
        <f>IF(OR(B343="",I343&lt;&gt;""),"",IF(MOD(COUNTIFS($B$3:B343,"&lt;&gt;",$I$3:I343,""),2)=1,"Carlos","Joaquín"))</f>
        <v/>
      </c>
      <c r="K343" s="11" t="n"/>
      <c r="L343" s="11" t="n"/>
      <c r="M343" s="11" t="n"/>
      <c r="N343" s="11" t="n"/>
      <c r="O343" s="11" t="n"/>
      <c r="P343" s="8">
        <f>IF(J343="","",IF(K343="Sale","Descartado",IF(L343="Sale","Descartado",IF(OR(M343="Q3",M343="Q4",M343="No aparece"),"Descartado",IF(N343="Sale","Descartado",IF(O343="Sigue","APROBADO","En proceso"))))))</f>
        <v/>
      </c>
    </row>
    <row r="344" ht="15" customHeight="1">
      <c r="A344" s="8">
        <f>IF(B344="","",ROW()-2)</f>
        <v/>
      </c>
      <c r="B344" s="9" t="n"/>
      <c r="C344" s="9" t="n"/>
      <c r="D344" s="12" t="n"/>
      <c r="E344" s="9" t="n"/>
      <c r="F344" s="9" t="n"/>
      <c r="G344" s="9" t="n"/>
      <c r="H344" s="12" t="n"/>
      <c r="I344" s="8">
        <f>IF(B344="","",IF(AND(F344&lt;&gt;"",SUMPRODUCT(--ISNUMBER(SEARCH(Preseleccionados!$A$2:$A$11,F344)))&gt;0),"YA ESTÁ",IF(AND(F344&lt;&gt;"",COUNTIF($F$3:F344,F344)&gt;1),"REPETIDO","")))</f>
        <v/>
      </c>
      <c r="J344" s="8">
        <f>IF(OR(B344="",I344&lt;&gt;""),"",IF(MOD(COUNTIFS($B$3:B344,"&lt;&gt;",$I$3:I344,""),2)=1,"Carlos","Joaquín"))</f>
        <v/>
      </c>
      <c r="K344" s="11" t="n"/>
      <c r="L344" s="11" t="n"/>
      <c r="M344" s="11" t="n"/>
      <c r="N344" s="11" t="n"/>
      <c r="O344" s="11" t="n"/>
      <c r="P344" s="8">
        <f>IF(J344="","",IF(K344="Sale","Descartado",IF(L344="Sale","Descartado",IF(OR(M344="Q3",M344="Q4",M344="No aparece"),"Descartado",IF(N344="Sale","Descartado",IF(O344="Sigue","APROBADO","En proceso"))))))</f>
        <v/>
      </c>
    </row>
    <row r="345" ht="15" customHeight="1">
      <c r="A345" s="8">
        <f>IF(B345="","",ROW()-2)</f>
        <v/>
      </c>
      <c r="B345" s="9" t="n"/>
      <c r="C345" s="9" t="n"/>
      <c r="D345" s="12" t="n"/>
      <c r="E345" s="9" t="n"/>
      <c r="F345" s="9" t="n"/>
      <c r="G345" s="9" t="n"/>
      <c r="H345" s="12" t="n"/>
      <c r="I345" s="8">
        <f>IF(B345="","",IF(AND(F345&lt;&gt;"",SUMPRODUCT(--ISNUMBER(SEARCH(Preseleccionados!$A$2:$A$11,F345)))&gt;0),"YA ESTÁ",IF(AND(F345&lt;&gt;"",COUNTIF($F$3:F345,F345)&gt;1),"REPETIDO","")))</f>
        <v/>
      </c>
      <c r="J345" s="8">
        <f>IF(OR(B345="",I345&lt;&gt;""),"",IF(MOD(COUNTIFS($B$3:B345,"&lt;&gt;",$I$3:I345,""),2)=1,"Carlos","Joaquín"))</f>
        <v/>
      </c>
      <c r="K345" s="11" t="n"/>
      <c r="L345" s="11" t="n"/>
      <c r="M345" s="11" t="n"/>
      <c r="N345" s="11" t="n"/>
      <c r="O345" s="11" t="n"/>
      <c r="P345" s="8">
        <f>IF(J345="","",IF(K345="Sale","Descartado",IF(L345="Sale","Descartado",IF(OR(M345="Q3",M345="Q4",M345="No aparece"),"Descartado",IF(N345="Sale","Descartado",IF(O345="Sigue","APROBADO","En proceso"))))))</f>
        <v/>
      </c>
    </row>
    <row r="346" ht="15" customHeight="1">
      <c r="A346" s="8">
        <f>IF(B346="","",ROW()-2)</f>
        <v/>
      </c>
      <c r="B346" s="9" t="n"/>
      <c r="C346" s="9" t="n"/>
      <c r="D346" s="12" t="n"/>
      <c r="E346" s="9" t="n"/>
      <c r="F346" s="9" t="n"/>
      <c r="G346" s="9" t="n"/>
      <c r="H346" s="12" t="n"/>
      <c r="I346" s="8">
        <f>IF(B346="","",IF(AND(F346&lt;&gt;"",SUMPRODUCT(--ISNUMBER(SEARCH(Preseleccionados!$A$2:$A$11,F346)))&gt;0),"YA ESTÁ",IF(AND(F346&lt;&gt;"",COUNTIF($F$3:F346,F346)&gt;1),"REPETIDO","")))</f>
        <v/>
      </c>
      <c r="J346" s="8">
        <f>IF(OR(B346="",I346&lt;&gt;""),"",IF(MOD(COUNTIFS($B$3:B346,"&lt;&gt;",$I$3:I346,""),2)=1,"Carlos","Joaquín"))</f>
        <v/>
      </c>
      <c r="K346" s="11" t="n"/>
      <c r="L346" s="11" t="n"/>
      <c r="M346" s="11" t="n"/>
      <c r="N346" s="11" t="n"/>
      <c r="O346" s="11" t="n"/>
      <c r="P346" s="8">
        <f>IF(J346="","",IF(K346="Sale","Descartado",IF(L346="Sale","Descartado",IF(OR(M346="Q3",M346="Q4",M346="No aparece"),"Descartado",IF(N346="Sale","Descartado",IF(O346="Sigue","APROBADO","En proceso"))))))</f>
        <v/>
      </c>
    </row>
    <row r="347" ht="15" customHeight="1">
      <c r="A347" s="8">
        <f>IF(B347="","",ROW()-2)</f>
        <v/>
      </c>
      <c r="B347" s="9" t="n"/>
      <c r="C347" s="9" t="n"/>
      <c r="D347" s="12" t="n"/>
      <c r="E347" s="9" t="n"/>
      <c r="F347" s="9" t="n"/>
      <c r="G347" s="9" t="n"/>
      <c r="H347" s="12" t="n"/>
      <c r="I347" s="8">
        <f>IF(B347="","",IF(AND(F347&lt;&gt;"",SUMPRODUCT(--ISNUMBER(SEARCH(Preseleccionados!$A$2:$A$11,F347)))&gt;0),"YA ESTÁ",IF(AND(F347&lt;&gt;"",COUNTIF($F$3:F347,F347)&gt;1),"REPETIDO","")))</f>
        <v/>
      </c>
      <c r="J347" s="8">
        <f>IF(OR(B347="",I347&lt;&gt;""),"",IF(MOD(COUNTIFS($B$3:B347,"&lt;&gt;",$I$3:I347,""),2)=1,"Carlos","Joaquín"))</f>
        <v/>
      </c>
      <c r="K347" s="11" t="n"/>
      <c r="L347" s="11" t="n"/>
      <c r="M347" s="11" t="n"/>
      <c r="N347" s="11" t="n"/>
      <c r="O347" s="11" t="n"/>
      <c r="P347" s="8">
        <f>IF(J347="","",IF(K347="Sale","Descartado",IF(L347="Sale","Descartado",IF(OR(M347="Q3",M347="Q4",M347="No aparece"),"Descartado",IF(N347="Sale","Descartado",IF(O347="Sigue","APROBADO","En proceso"))))))</f>
        <v/>
      </c>
    </row>
    <row r="348" ht="15" customHeight="1">
      <c r="A348" s="8">
        <f>IF(B348="","",ROW()-2)</f>
        <v/>
      </c>
      <c r="B348" s="9" t="n"/>
      <c r="C348" s="9" t="n"/>
      <c r="D348" s="12" t="n"/>
      <c r="E348" s="9" t="n"/>
      <c r="F348" s="9" t="n"/>
      <c r="G348" s="9" t="n"/>
      <c r="H348" s="12" t="n"/>
      <c r="I348" s="8">
        <f>IF(B348="","",IF(AND(F348&lt;&gt;"",SUMPRODUCT(--ISNUMBER(SEARCH(Preseleccionados!$A$2:$A$11,F348)))&gt;0),"YA ESTÁ",IF(AND(F348&lt;&gt;"",COUNTIF($F$3:F348,F348)&gt;1),"REPETIDO","")))</f>
        <v/>
      </c>
      <c r="J348" s="8">
        <f>IF(OR(B348="",I348&lt;&gt;""),"",IF(MOD(COUNTIFS($B$3:B348,"&lt;&gt;",$I$3:I348,""),2)=1,"Carlos","Joaquín"))</f>
        <v/>
      </c>
      <c r="K348" s="11" t="n"/>
      <c r="L348" s="11" t="n"/>
      <c r="M348" s="11" t="n"/>
      <c r="N348" s="11" t="n"/>
      <c r="O348" s="11" t="n"/>
      <c r="P348" s="8">
        <f>IF(J348="","",IF(K348="Sale","Descartado",IF(L348="Sale","Descartado",IF(OR(M348="Q3",M348="Q4",M348="No aparece"),"Descartado",IF(N348="Sale","Descartado",IF(O348="Sigue","APROBADO","En proceso"))))))</f>
        <v/>
      </c>
    </row>
    <row r="349" ht="15" customHeight="1">
      <c r="A349" s="8">
        <f>IF(B349="","",ROW()-2)</f>
        <v/>
      </c>
      <c r="B349" s="9" t="n"/>
      <c r="C349" s="9" t="n"/>
      <c r="D349" s="12" t="n"/>
      <c r="E349" s="9" t="n"/>
      <c r="F349" s="9" t="n"/>
      <c r="G349" s="9" t="n"/>
      <c r="H349" s="12" t="n"/>
      <c r="I349" s="8">
        <f>IF(B349="","",IF(AND(F349&lt;&gt;"",SUMPRODUCT(--ISNUMBER(SEARCH(Preseleccionados!$A$2:$A$11,F349)))&gt;0),"YA ESTÁ",IF(AND(F349&lt;&gt;"",COUNTIF($F$3:F349,F349)&gt;1),"REPETIDO","")))</f>
        <v/>
      </c>
      <c r="J349" s="8">
        <f>IF(OR(B349="",I349&lt;&gt;""),"",IF(MOD(COUNTIFS($B$3:B349,"&lt;&gt;",$I$3:I349,""),2)=1,"Carlos","Joaquín"))</f>
        <v/>
      </c>
      <c r="K349" s="11" t="n"/>
      <c r="L349" s="11" t="n"/>
      <c r="M349" s="11" t="n"/>
      <c r="N349" s="11" t="n"/>
      <c r="O349" s="11" t="n"/>
      <c r="P349" s="8">
        <f>IF(J349="","",IF(K349="Sale","Descartado",IF(L349="Sale","Descartado",IF(OR(M349="Q3",M349="Q4",M349="No aparece"),"Descartado",IF(N349="Sale","Descartado",IF(O349="Sigue","APROBADO","En proceso"))))))</f>
        <v/>
      </c>
    </row>
    <row r="350" ht="15" customHeight="1">
      <c r="A350" s="8">
        <f>IF(B350="","",ROW()-2)</f>
        <v/>
      </c>
      <c r="B350" s="9" t="n"/>
      <c r="C350" s="9" t="n"/>
      <c r="D350" s="12" t="n"/>
      <c r="E350" s="9" t="n"/>
      <c r="F350" s="9" t="n"/>
      <c r="G350" s="9" t="n"/>
      <c r="H350" s="12" t="n"/>
      <c r="I350" s="8">
        <f>IF(B350="","",IF(AND(F350&lt;&gt;"",SUMPRODUCT(--ISNUMBER(SEARCH(Preseleccionados!$A$2:$A$11,F350)))&gt;0),"YA ESTÁ",IF(AND(F350&lt;&gt;"",COUNTIF($F$3:F350,F350)&gt;1),"REPETIDO","")))</f>
        <v/>
      </c>
      <c r="J350" s="8">
        <f>IF(OR(B350="",I350&lt;&gt;""),"",IF(MOD(COUNTIFS($B$3:B350,"&lt;&gt;",$I$3:I350,""),2)=1,"Carlos","Joaquín"))</f>
        <v/>
      </c>
      <c r="K350" s="11" t="n"/>
      <c r="L350" s="11" t="n"/>
      <c r="M350" s="11" t="n"/>
      <c r="N350" s="11" t="n"/>
      <c r="O350" s="11" t="n"/>
      <c r="P350" s="8">
        <f>IF(J350="","",IF(K350="Sale","Descartado",IF(L350="Sale","Descartado",IF(OR(M350="Q3",M350="Q4",M350="No aparece"),"Descartado",IF(N350="Sale","Descartado",IF(O350="Sigue","APROBADO","En proceso"))))))</f>
        <v/>
      </c>
    </row>
    <row r="351" ht="15" customHeight="1">
      <c r="A351" s="8">
        <f>IF(B351="","",ROW()-2)</f>
        <v/>
      </c>
      <c r="B351" s="9" t="n"/>
      <c r="C351" s="9" t="n"/>
      <c r="D351" s="12" t="n"/>
      <c r="E351" s="9" t="n"/>
      <c r="F351" s="9" t="n"/>
      <c r="G351" s="9" t="n"/>
      <c r="H351" s="12" t="n"/>
      <c r="I351" s="8">
        <f>IF(B351="","",IF(AND(F351&lt;&gt;"",SUMPRODUCT(--ISNUMBER(SEARCH(Preseleccionados!$A$2:$A$11,F351)))&gt;0),"YA ESTÁ",IF(AND(F351&lt;&gt;"",COUNTIF($F$3:F351,F351)&gt;1),"REPETIDO","")))</f>
        <v/>
      </c>
      <c r="J351" s="8">
        <f>IF(OR(B351="",I351&lt;&gt;""),"",IF(MOD(COUNTIFS($B$3:B351,"&lt;&gt;",$I$3:I351,""),2)=1,"Carlos","Joaquín"))</f>
        <v/>
      </c>
      <c r="K351" s="11" t="n"/>
      <c r="L351" s="11" t="n"/>
      <c r="M351" s="11" t="n"/>
      <c r="N351" s="11" t="n"/>
      <c r="O351" s="11" t="n"/>
      <c r="P351" s="8">
        <f>IF(J351="","",IF(K351="Sale","Descartado",IF(L351="Sale","Descartado",IF(OR(M351="Q3",M351="Q4",M351="No aparece"),"Descartado",IF(N351="Sale","Descartado",IF(O351="Sigue","APROBADO","En proceso"))))))</f>
        <v/>
      </c>
    </row>
    <row r="352" ht="15" customHeight="1">
      <c r="A352" s="8">
        <f>IF(B352="","",ROW()-2)</f>
        <v/>
      </c>
      <c r="B352" s="9" t="n"/>
      <c r="C352" s="9" t="n"/>
      <c r="D352" s="12" t="n"/>
      <c r="E352" s="9" t="n"/>
      <c r="F352" s="9" t="n"/>
      <c r="G352" s="9" t="n"/>
      <c r="H352" s="12" t="n"/>
      <c r="I352" s="8">
        <f>IF(B352="","",IF(AND(F352&lt;&gt;"",SUMPRODUCT(--ISNUMBER(SEARCH(Preseleccionados!$A$2:$A$11,F352)))&gt;0),"YA ESTÁ",IF(AND(F352&lt;&gt;"",COUNTIF($F$3:F352,F352)&gt;1),"REPETIDO","")))</f>
        <v/>
      </c>
      <c r="J352" s="8">
        <f>IF(OR(B352="",I352&lt;&gt;""),"",IF(MOD(COUNTIFS($B$3:B352,"&lt;&gt;",$I$3:I352,""),2)=1,"Carlos","Joaquín"))</f>
        <v/>
      </c>
      <c r="K352" s="11" t="n"/>
      <c r="L352" s="11" t="n"/>
      <c r="M352" s="11" t="n"/>
      <c r="N352" s="11" t="n"/>
      <c r="O352" s="11" t="n"/>
      <c r="P352" s="8">
        <f>IF(J352="","",IF(K352="Sale","Descartado",IF(L352="Sale","Descartado",IF(OR(M352="Q3",M352="Q4",M352="No aparece"),"Descartado",IF(N352="Sale","Descartado",IF(O352="Sigue","APROBADO","En proceso"))))))</f>
        <v/>
      </c>
    </row>
    <row r="353" ht="15" customHeight="1">
      <c r="A353" s="8">
        <f>IF(B353="","",ROW()-2)</f>
        <v/>
      </c>
      <c r="B353" s="9" t="n"/>
      <c r="C353" s="9" t="n"/>
      <c r="D353" s="12" t="n"/>
      <c r="E353" s="9" t="n"/>
      <c r="F353" s="9" t="n"/>
      <c r="G353" s="9" t="n"/>
      <c r="H353" s="12" t="n"/>
      <c r="I353" s="8">
        <f>IF(B353="","",IF(AND(F353&lt;&gt;"",SUMPRODUCT(--ISNUMBER(SEARCH(Preseleccionados!$A$2:$A$11,F353)))&gt;0),"YA ESTÁ",IF(AND(F353&lt;&gt;"",COUNTIF($F$3:F353,F353)&gt;1),"REPETIDO","")))</f>
        <v/>
      </c>
      <c r="J353" s="8">
        <f>IF(OR(B353="",I353&lt;&gt;""),"",IF(MOD(COUNTIFS($B$3:B353,"&lt;&gt;",$I$3:I353,""),2)=1,"Carlos","Joaquín"))</f>
        <v/>
      </c>
      <c r="K353" s="11" t="n"/>
      <c r="L353" s="11" t="n"/>
      <c r="M353" s="11" t="n"/>
      <c r="N353" s="11" t="n"/>
      <c r="O353" s="11" t="n"/>
      <c r="P353" s="8">
        <f>IF(J353="","",IF(K353="Sale","Descartado",IF(L353="Sale","Descartado",IF(OR(M353="Q3",M353="Q4",M353="No aparece"),"Descartado",IF(N353="Sale","Descartado",IF(O353="Sigue","APROBADO","En proceso"))))))</f>
        <v/>
      </c>
    </row>
    <row r="354" ht="15" customHeight="1">
      <c r="A354" s="8">
        <f>IF(B354="","",ROW()-2)</f>
        <v/>
      </c>
      <c r="B354" s="9" t="n"/>
      <c r="C354" s="9" t="n"/>
      <c r="D354" s="12" t="n"/>
      <c r="E354" s="9" t="n"/>
      <c r="F354" s="9" t="n"/>
      <c r="G354" s="9" t="n"/>
      <c r="H354" s="12" t="n"/>
      <c r="I354" s="8">
        <f>IF(B354="","",IF(AND(F354&lt;&gt;"",SUMPRODUCT(--ISNUMBER(SEARCH(Preseleccionados!$A$2:$A$11,F354)))&gt;0),"YA ESTÁ",IF(AND(F354&lt;&gt;"",COUNTIF($F$3:F354,F354)&gt;1),"REPETIDO","")))</f>
        <v/>
      </c>
      <c r="J354" s="8">
        <f>IF(OR(B354="",I354&lt;&gt;""),"",IF(MOD(COUNTIFS($B$3:B354,"&lt;&gt;",$I$3:I354,""),2)=1,"Carlos","Joaquín"))</f>
        <v/>
      </c>
      <c r="K354" s="11" t="n"/>
      <c r="L354" s="11" t="n"/>
      <c r="M354" s="11" t="n"/>
      <c r="N354" s="11" t="n"/>
      <c r="O354" s="11" t="n"/>
      <c r="P354" s="8">
        <f>IF(J354="","",IF(K354="Sale","Descartado",IF(L354="Sale","Descartado",IF(OR(M354="Q3",M354="Q4",M354="No aparece"),"Descartado",IF(N354="Sale","Descartado",IF(O354="Sigue","APROBADO","En proceso"))))))</f>
        <v/>
      </c>
    </row>
    <row r="355" ht="15" customHeight="1">
      <c r="A355" s="8">
        <f>IF(B355="","",ROW()-2)</f>
        <v/>
      </c>
      <c r="B355" s="9" t="n"/>
      <c r="C355" s="9" t="n"/>
      <c r="D355" s="12" t="n"/>
      <c r="E355" s="9" t="n"/>
      <c r="F355" s="9" t="n"/>
      <c r="G355" s="9" t="n"/>
      <c r="H355" s="12" t="n"/>
      <c r="I355" s="8">
        <f>IF(B355="","",IF(AND(F355&lt;&gt;"",SUMPRODUCT(--ISNUMBER(SEARCH(Preseleccionados!$A$2:$A$11,F355)))&gt;0),"YA ESTÁ",IF(AND(F355&lt;&gt;"",COUNTIF($F$3:F355,F355)&gt;1),"REPETIDO","")))</f>
        <v/>
      </c>
      <c r="J355" s="8">
        <f>IF(OR(B355="",I355&lt;&gt;""),"",IF(MOD(COUNTIFS($B$3:B355,"&lt;&gt;",$I$3:I355,""),2)=1,"Carlos","Joaquín"))</f>
        <v/>
      </c>
      <c r="K355" s="11" t="n"/>
      <c r="L355" s="11" t="n"/>
      <c r="M355" s="11" t="n"/>
      <c r="N355" s="11" t="n"/>
      <c r="O355" s="11" t="n"/>
      <c r="P355" s="8">
        <f>IF(J355="","",IF(K355="Sale","Descartado",IF(L355="Sale","Descartado",IF(OR(M355="Q3",M355="Q4",M355="No aparece"),"Descartado",IF(N355="Sale","Descartado",IF(O355="Sigue","APROBADO","En proceso"))))))</f>
        <v/>
      </c>
    </row>
    <row r="356" ht="15" customHeight="1">
      <c r="A356" s="8">
        <f>IF(B356="","",ROW()-2)</f>
        <v/>
      </c>
      <c r="B356" s="9" t="n"/>
      <c r="C356" s="9" t="n"/>
      <c r="D356" s="12" t="n"/>
      <c r="E356" s="9" t="n"/>
      <c r="F356" s="9" t="n"/>
      <c r="G356" s="9" t="n"/>
      <c r="H356" s="12" t="n"/>
      <c r="I356" s="8">
        <f>IF(B356="","",IF(AND(F356&lt;&gt;"",SUMPRODUCT(--ISNUMBER(SEARCH(Preseleccionados!$A$2:$A$11,F356)))&gt;0),"YA ESTÁ",IF(AND(F356&lt;&gt;"",COUNTIF($F$3:F356,F356)&gt;1),"REPETIDO","")))</f>
        <v/>
      </c>
      <c r="J356" s="8">
        <f>IF(OR(B356="",I356&lt;&gt;""),"",IF(MOD(COUNTIFS($B$3:B356,"&lt;&gt;",$I$3:I356,""),2)=1,"Carlos","Joaquín"))</f>
        <v/>
      </c>
      <c r="K356" s="11" t="n"/>
      <c r="L356" s="11" t="n"/>
      <c r="M356" s="11" t="n"/>
      <c r="N356" s="11" t="n"/>
      <c r="O356" s="11" t="n"/>
      <c r="P356" s="8">
        <f>IF(J356="","",IF(K356="Sale","Descartado",IF(L356="Sale","Descartado",IF(OR(M356="Q3",M356="Q4",M356="No aparece"),"Descartado",IF(N356="Sale","Descartado",IF(O356="Sigue","APROBADO","En proceso"))))))</f>
        <v/>
      </c>
    </row>
    <row r="357" ht="15" customHeight="1">
      <c r="A357" s="8">
        <f>IF(B357="","",ROW()-2)</f>
        <v/>
      </c>
      <c r="B357" s="9" t="n"/>
      <c r="C357" s="9" t="n"/>
      <c r="D357" s="12" t="n"/>
      <c r="E357" s="9" t="n"/>
      <c r="F357" s="9" t="n"/>
      <c r="G357" s="9" t="n"/>
      <c r="H357" s="12" t="n"/>
      <c r="I357" s="8">
        <f>IF(B357="","",IF(AND(F357&lt;&gt;"",SUMPRODUCT(--ISNUMBER(SEARCH(Preseleccionados!$A$2:$A$11,F357)))&gt;0),"YA ESTÁ",IF(AND(F357&lt;&gt;"",COUNTIF($F$3:F357,F357)&gt;1),"REPETIDO","")))</f>
        <v/>
      </c>
      <c r="J357" s="8">
        <f>IF(OR(B357="",I357&lt;&gt;""),"",IF(MOD(COUNTIFS($B$3:B357,"&lt;&gt;",$I$3:I357,""),2)=1,"Carlos","Joaquín"))</f>
        <v/>
      </c>
      <c r="K357" s="11" t="n"/>
      <c r="L357" s="11" t="n"/>
      <c r="M357" s="11" t="n"/>
      <c r="N357" s="11" t="n"/>
      <c r="O357" s="11" t="n"/>
      <c r="P357" s="8">
        <f>IF(J357="","",IF(K357="Sale","Descartado",IF(L357="Sale","Descartado",IF(OR(M357="Q3",M357="Q4",M357="No aparece"),"Descartado",IF(N357="Sale","Descartado",IF(O357="Sigue","APROBADO","En proceso"))))))</f>
        <v/>
      </c>
    </row>
    <row r="358" ht="15" customHeight="1">
      <c r="A358" s="8">
        <f>IF(B358="","",ROW()-2)</f>
        <v/>
      </c>
      <c r="B358" s="9" t="n"/>
      <c r="C358" s="9" t="n"/>
      <c r="D358" s="12" t="n"/>
      <c r="E358" s="9" t="n"/>
      <c r="F358" s="9" t="n"/>
      <c r="G358" s="9" t="n"/>
      <c r="H358" s="12" t="n"/>
      <c r="I358" s="8">
        <f>IF(B358="","",IF(AND(F358&lt;&gt;"",SUMPRODUCT(--ISNUMBER(SEARCH(Preseleccionados!$A$2:$A$11,F358)))&gt;0),"YA ESTÁ",IF(AND(F358&lt;&gt;"",COUNTIF($F$3:F358,F358)&gt;1),"REPETIDO","")))</f>
        <v/>
      </c>
      <c r="J358" s="8">
        <f>IF(OR(B358="",I358&lt;&gt;""),"",IF(MOD(COUNTIFS($B$3:B358,"&lt;&gt;",$I$3:I358,""),2)=1,"Carlos","Joaquín"))</f>
        <v/>
      </c>
      <c r="K358" s="11" t="n"/>
      <c r="L358" s="11" t="n"/>
      <c r="M358" s="11" t="n"/>
      <c r="N358" s="11" t="n"/>
      <c r="O358" s="11" t="n"/>
      <c r="P358" s="8">
        <f>IF(J358="","",IF(K358="Sale","Descartado",IF(L358="Sale","Descartado",IF(OR(M358="Q3",M358="Q4",M358="No aparece"),"Descartado",IF(N358="Sale","Descartado",IF(O358="Sigue","APROBADO","En proceso"))))))</f>
        <v/>
      </c>
    </row>
    <row r="359" ht="15" customHeight="1">
      <c r="A359" s="8">
        <f>IF(B359="","",ROW()-2)</f>
        <v/>
      </c>
      <c r="B359" s="9" t="n"/>
      <c r="C359" s="9" t="n"/>
      <c r="D359" s="12" t="n"/>
      <c r="E359" s="9" t="n"/>
      <c r="F359" s="9" t="n"/>
      <c r="G359" s="9" t="n"/>
      <c r="H359" s="12" t="n"/>
      <c r="I359" s="8">
        <f>IF(B359="","",IF(AND(F359&lt;&gt;"",SUMPRODUCT(--ISNUMBER(SEARCH(Preseleccionados!$A$2:$A$11,F359)))&gt;0),"YA ESTÁ",IF(AND(F359&lt;&gt;"",COUNTIF($F$3:F359,F359)&gt;1),"REPETIDO","")))</f>
        <v/>
      </c>
      <c r="J359" s="8">
        <f>IF(OR(B359="",I359&lt;&gt;""),"",IF(MOD(COUNTIFS($B$3:B359,"&lt;&gt;",$I$3:I359,""),2)=1,"Carlos","Joaquín"))</f>
        <v/>
      </c>
      <c r="K359" s="11" t="n"/>
      <c r="L359" s="11" t="n"/>
      <c r="M359" s="11" t="n"/>
      <c r="N359" s="11" t="n"/>
      <c r="O359" s="11" t="n"/>
      <c r="P359" s="8">
        <f>IF(J359="","",IF(K359="Sale","Descartado",IF(L359="Sale","Descartado",IF(OR(M359="Q3",M359="Q4",M359="No aparece"),"Descartado",IF(N359="Sale","Descartado",IF(O359="Sigue","APROBADO","En proceso"))))))</f>
        <v/>
      </c>
    </row>
    <row r="360" ht="15" customHeight="1">
      <c r="A360" s="8">
        <f>IF(B360="","",ROW()-2)</f>
        <v/>
      </c>
      <c r="B360" s="9" t="n"/>
      <c r="C360" s="9" t="n"/>
      <c r="D360" s="12" t="n"/>
      <c r="E360" s="9" t="n"/>
      <c r="F360" s="9" t="n"/>
      <c r="G360" s="9" t="n"/>
      <c r="H360" s="12" t="n"/>
      <c r="I360" s="8">
        <f>IF(B360="","",IF(AND(F360&lt;&gt;"",SUMPRODUCT(--ISNUMBER(SEARCH(Preseleccionados!$A$2:$A$11,F360)))&gt;0),"YA ESTÁ",IF(AND(F360&lt;&gt;"",COUNTIF($F$3:F360,F360)&gt;1),"REPETIDO","")))</f>
        <v/>
      </c>
      <c r="J360" s="8">
        <f>IF(OR(B360="",I360&lt;&gt;""),"",IF(MOD(COUNTIFS($B$3:B360,"&lt;&gt;",$I$3:I360,""),2)=1,"Carlos","Joaquín"))</f>
        <v/>
      </c>
      <c r="K360" s="11" t="n"/>
      <c r="L360" s="11" t="n"/>
      <c r="M360" s="11" t="n"/>
      <c r="N360" s="11" t="n"/>
      <c r="O360" s="11" t="n"/>
      <c r="P360" s="8">
        <f>IF(J360="","",IF(K360="Sale","Descartado",IF(L360="Sale","Descartado",IF(OR(M360="Q3",M360="Q4",M360="No aparece"),"Descartado",IF(N360="Sale","Descartado",IF(O360="Sigue","APROBADO","En proceso"))))))</f>
        <v/>
      </c>
    </row>
    <row r="361" ht="15" customHeight="1">
      <c r="A361" s="8">
        <f>IF(B361="","",ROW()-2)</f>
        <v/>
      </c>
      <c r="B361" s="9" t="n"/>
      <c r="C361" s="9" t="n"/>
      <c r="D361" s="12" t="n"/>
      <c r="E361" s="9" t="n"/>
      <c r="F361" s="9" t="n"/>
      <c r="G361" s="9" t="n"/>
      <c r="H361" s="12" t="n"/>
      <c r="I361" s="8">
        <f>IF(B361="","",IF(AND(F361&lt;&gt;"",SUMPRODUCT(--ISNUMBER(SEARCH(Preseleccionados!$A$2:$A$11,F361)))&gt;0),"YA ESTÁ",IF(AND(F361&lt;&gt;"",COUNTIF($F$3:F361,F361)&gt;1),"REPETIDO","")))</f>
        <v/>
      </c>
      <c r="J361" s="8">
        <f>IF(OR(B361="",I361&lt;&gt;""),"",IF(MOD(COUNTIFS($B$3:B361,"&lt;&gt;",$I$3:I361,""),2)=1,"Carlos","Joaquín"))</f>
        <v/>
      </c>
      <c r="K361" s="11" t="n"/>
      <c r="L361" s="11" t="n"/>
      <c r="M361" s="11" t="n"/>
      <c r="N361" s="11" t="n"/>
      <c r="O361" s="11" t="n"/>
      <c r="P361" s="8">
        <f>IF(J361="","",IF(K361="Sale","Descartado",IF(L361="Sale","Descartado",IF(OR(M361="Q3",M361="Q4",M361="No aparece"),"Descartado",IF(N361="Sale","Descartado",IF(O361="Sigue","APROBADO","En proceso"))))))</f>
        <v/>
      </c>
    </row>
    <row r="362" ht="15" customHeight="1">
      <c r="A362" s="8">
        <f>IF(B362="","",ROW()-2)</f>
        <v/>
      </c>
      <c r="B362" s="9" t="n"/>
      <c r="C362" s="9" t="n"/>
      <c r="D362" s="12" t="n"/>
      <c r="E362" s="9" t="n"/>
      <c r="F362" s="9" t="n"/>
      <c r="G362" s="9" t="n"/>
      <c r="H362" s="12" t="n"/>
      <c r="I362" s="8">
        <f>IF(B362="","",IF(AND(F362&lt;&gt;"",SUMPRODUCT(--ISNUMBER(SEARCH(Preseleccionados!$A$2:$A$11,F362)))&gt;0),"YA ESTÁ",IF(AND(F362&lt;&gt;"",COUNTIF($F$3:F362,F362)&gt;1),"REPETIDO","")))</f>
        <v/>
      </c>
      <c r="J362" s="8">
        <f>IF(OR(B362="",I362&lt;&gt;""),"",IF(MOD(COUNTIFS($B$3:B362,"&lt;&gt;",$I$3:I362,""),2)=1,"Carlos","Joaquín"))</f>
        <v/>
      </c>
      <c r="K362" s="11" t="n"/>
      <c r="L362" s="11" t="n"/>
      <c r="M362" s="11" t="n"/>
      <c r="N362" s="11" t="n"/>
      <c r="O362" s="11" t="n"/>
      <c r="P362" s="8">
        <f>IF(J362="","",IF(K362="Sale","Descartado",IF(L362="Sale","Descartado",IF(OR(M362="Q3",M362="Q4",M362="No aparece"),"Descartado",IF(N362="Sale","Descartado",IF(O362="Sigue","APROBADO","En proceso"))))))</f>
        <v/>
      </c>
    </row>
    <row r="363" ht="15" customHeight="1">
      <c r="A363" s="8">
        <f>IF(B363="","",ROW()-2)</f>
        <v/>
      </c>
      <c r="B363" s="9" t="n"/>
      <c r="C363" s="9" t="n"/>
      <c r="D363" s="12" t="n"/>
      <c r="E363" s="9" t="n"/>
      <c r="F363" s="9" t="n"/>
      <c r="G363" s="9" t="n"/>
      <c r="H363" s="12" t="n"/>
      <c r="I363" s="8">
        <f>IF(B363="","",IF(AND(F363&lt;&gt;"",SUMPRODUCT(--ISNUMBER(SEARCH(Preseleccionados!$A$2:$A$11,F363)))&gt;0),"YA ESTÁ",IF(AND(F363&lt;&gt;"",COUNTIF($F$3:F363,F363)&gt;1),"REPETIDO","")))</f>
        <v/>
      </c>
      <c r="J363" s="8">
        <f>IF(OR(B363="",I363&lt;&gt;""),"",IF(MOD(COUNTIFS($B$3:B363,"&lt;&gt;",$I$3:I363,""),2)=1,"Carlos","Joaquín"))</f>
        <v/>
      </c>
      <c r="K363" s="11" t="n"/>
      <c r="L363" s="11" t="n"/>
      <c r="M363" s="11" t="n"/>
      <c r="N363" s="11" t="n"/>
      <c r="O363" s="11" t="n"/>
      <c r="P363" s="8">
        <f>IF(J363="","",IF(K363="Sale","Descartado",IF(L363="Sale","Descartado",IF(OR(M363="Q3",M363="Q4",M363="No aparece"),"Descartado",IF(N363="Sale","Descartado",IF(O363="Sigue","APROBADO","En proceso"))))))</f>
        <v/>
      </c>
    </row>
    <row r="364" ht="15" customHeight="1">
      <c r="A364" s="8">
        <f>IF(B364="","",ROW()-2)</f>
        <v/>
      </c>
      <c r="B364" s="9" t="n"/>
      <c r="C364" s="9" t="n"/>
      <c r="D364" s="12" t="n"/>
      <c r="E364" s="9" t="n"/>
      <c r="F364" s="9" t="n"/>
      <c r="G364" s="9" t="n"/>
      <c r="H364" s="12" t="n"/>
      <c r="I364" s="8">
        <f>IF(B364="","",IF(AND(F364&lt;&gt;"",SUMPRODUCT(--ISNUMBER(SEARCH(Preseleccionados!$A$2:$A$11,F364)))&gt;0),"YA ESTÁ",IF(AND(F364&lt;&gt;"",COUNTIF($F$3:F364,F364)&gt;1),"REPETIDO","")))</f>
        <v/>
      </c>
      <c r="J364" s="8">
        <f>IF(OR(B364="",I364&lt;&gt;""),"",IF(MOD(COUNTIFS($B$3:B364,"&lt;&gt;",$I$3:I364,""),2)=1,"Carlos","Joaquín"))</f>
        <v/>
      </c>
      <c r="K364" s="11" t="n"/>
      <c r="L364" s="11" t="n"/>
      <c r="M364" s="11" t="n"/>
      <c r="N364" s="11" t="n"/>
      <c r="O364" s="11" t="n"/>
      <c r="P364" s="8">
        <f>IF(J364="","",IF(K364="Sale","Descartado",IF(L364="Sale","Descartado",IF(OR(M364="Q3",M364="Q4",M364="No aparece"),"Descartado",IF(N364="Sale","Descartado",IF(O364="Sigue","APROBADO","En proceso"))))))</f>
        <v/>
      </c>
    </row>
    <row r="365" ht="15" customHeight="1">
      <c r="A365" s="8">
        <f>IF(B365="","",ROW()-2)</f>
        <v/>
      </c>
      <c r="B365" s="9" t="n"/>
      <c r="C365" s="9" t="n"/>
      <c r="D365" s="12" t="n"/>
      <c r="E365" s="9" t="n"/>
      <c r="F365" s="9" t="n"/>
      <c r="G365" s="9" t="n"/>
      <c r="H365" s="12" t="n"/>
      <c r="I365" s="8">
        <f>IF(B365="","",IF(AND(F365&lt;&gt;"",SUMPRODUCT(--ISNUMBER(SEARCH(Preseleccionados!$A$2:$A$11,F365)))&gt;0),"YA ESTÁ",IF(AND(F365&lt;&gt;"",COUNTIF($F$3:F365,F365)&gt;1),"REPETIDO","")))</f>
        <v/>
      </c>
      <c r="J365" s="8">
        <f>IF(OR(B365="",I365&lt;&gt;""),"",IF(MOD(COUNTIFS($B$3:B365,"&lt;&gt;",$I$3:I365,""),2)=1,"Carlos","Joaquín"))</f>
        <v/>
      </c>
      <c r="K365" s="11" t="n"/>
      <c r="L365" s="11" t="n"/>
      <c r="M365" s="11" t="n"/>
      <c r="N365" s="11" t="n"/>
      <c r="O365" s="11" t="n"/>
      <c r="P365" s="8">
        <f>IF(J365="","",IF(K365="Sale","Descartado",IF(L365="Sale","Descartado",IF(OR(M365="Q3",M365="Q4",M365="No aparece"),"Descartado",IF(N365="Sale","Descartado",IF(O365="Sigue","APROBADO","En proceso"))))))</f>
        <v/>
      </c>
    </row>
    <row r="366" ht="15" customHeight="1">
      <c r="A366" s="8">
        <f>IF(B366="","",ROW()-2)</f>
        <v/>
      </c>
      <c r="B366" s="9" t="n"/>
      <c r="C366" s="9" t="n"/>
      <c r="D366" s="12" t="n"/>
      <c r="E366" s="9" t="n"/>
      <c r="F366" s="9" t="n"/>
      <c r="G366" s="9" t="n"/>
      <c r="H366" s="12" t="n"/>
      <c r="I366" s="8">
        <f>IF(B366="","",IF(AND(F366&lt;&gt;"",SUMPRODUCT(--ISNUMBER(SEARCH(Preseleccionados!$A$2:$A$11,F366)))&gt;0),"YA ESTÁ",IF(AND(F366&lt;&gt;"",COUNTIF($F$3:F366,F366)&gt;1),"REPETIDO","")))</f>
        <v/>
      </c>
      <c r="J366" s="8">
        <f>IF(OR(B366="",I366&lt;&gt;""),"",IF(MOD(COUNTIFS($B$3:B366,"&lt;&gt;",$I$3:I366,""),2)=1,"Carlos","Joaquín"))</f>
        <v/>
      </c>
      <c r="K366" s="11" t="n"/>
      <c r="L366" s="11" t="n"/>
      <c r="M366" s="11" t="n"/>
      <c r="N366" s="11" t="n"/>
      <c r="O366" s="11" t="n"/>
      <c r="P366" s="8">
        <f>IF(J366="","",IF(K366="Sale","Descartado",IF(L366="Sale","Descartado",IF(OR(M366="Q3",M366="Q4",M366="No aparece"),"Descartado",IF(N366="Sale","Descartado",IF(O366="Sigue","APROBADO","En proceso"))))))</f>
        <v/>
      </c>
    </row>
    <row r="367" ht="15" customHeight="1">
      <c r="A367" s="8">
        <f>IF(B367="","",ROW()-2)</f>
        <v/>
      </c>
      <c r="B367" s="9" t="n"/>
      <c r="C367" s="9" t="n"/>
      <c r="D367" s="12" t="n"/>
      <c r="E367" s="9" t="n"/>
      <c r="F367" s="9" t="n"/>
      <c r="G367" s="9" t="n"/>
      <c r="H367" s="12" t="n"/>
      <c r="I367" s="8">
        <f>IF(B367="","",IF(AND(F367&lt;&gt;"",SUMPRODUCT(--ISNUMBER(SEARCH(Preseleccionados!$A$2:$A$11,F367)))&gt;0),"YA ESTÁ",IF(AND(F367&lt;&gt;"",COUNTIF($F$3:F367,F367)&gt;1),"REPETIDO","")))</f>
        <v/>
      </c>
      <c r="J367" s="8">
        <f>IF(OR(B367="",I367&lt;&gt;""),"",IF(MOD(COUNTIFS($B$3:B367,"&lt;&gt;",$I$3:I367,""),2)=1,"Carlos","Joaquín"))</f>
        <v/>
      </c>
      <c r="K367" s="11" t="n"/>
      <c r="L367" s="11" t="n"/>
      <c r="M367" s="11" t="n"/>
      <c r="N367" s="11" t="n"/>
      <c r="O367" s="11" t="n"/>
      <c r="P367" s="8">
        <f>IF(J367="","",IF(K367="Sale","Descartado",IF(L367="Sale","Descartado",IF(OR(M367="Q3",M367="Q4",M367="No aparece"),"Descartado",IF(N367="Sale","Descartado",IF(O367="Sigue","APROBADO","En proceso"))))))</f>
        <v/>
      </c>
    </row>
    <row r="368" ht="15" customHeight="1">
      <c r="A368" s="8">
        <f>IF(B368="","",ROW()-2)</f>
        <v/>
      </c>
      <c r="B368" s="9" t="n"/>
      <c r="C368" s="9" t="n"/>
      <c r="D368" s="12" t="n"/>
      <c r="E368" s="9" t="n"/>
      <c r="F368" s="9" t="n"/>
      <c r="G368" s="9" t="n"/>
      <c r="H368" s="12" t="n"/>
      <c r="I368" s="8">
        <f>IF(B368="","",IF(AND(F368&lt;&gt;"",SUMPRODUCT(--ISNUMBER(SEARCH(Preseleccionados!$A$2:$A$11,F368)))&gt;0),"YA ESTÁ",IF(AND(F368&lt;&gt;"",COUNTIF($F$3:F368,F368)&gt;1),"REPETIDO","")))</f>
        <v/>
      </c>
      <c r="J368" s="8">
        <f>IF(OR(B368="",I368&lt;&gt;""),"",IF(MOD(COUNTIFS($B$3:B368,"&lt;&gt;",$I$3:I368,""),2)=1,"Carlos","Joaquín"))</f>
        <v/>
      </c>
      <c r="K368" s="11" t="n"/>
      <c r="L368" s="11" t="n"/>
      <c r="M368" s="11" t="n"/>
      <c r="N368" s="11" t="n"/>
      <c r="O368" s="11" t="n"/>
      <c r="P368" s="8">
        <f>IF(J368="","",IF(K368="Sale","Descartado",IF(L368="Sale","Descartado",IF(OR(M368="Q3",M368="Q4",M368="No aparece"),"Descartado",IF(N368="Sale","Descartado",IF(O368="Sigue","APROBADO","En proceso"))))))</f>
        <v/>
      </c>
    </row>
    <row r="369" ht="15" customHeight="1">
      <c r="A369" s="8">
        <f>IF(B369="","",ROW()-2)</f>
        <v/>
      </c>
      <c r="B369" s="9" t="n"/>
      <c r="C369" s="9" t="n"/>
      <c r="D369" s="12" t="n"/>
      <c r="E369" s="9" t="n"/>
      <c r="F369" s="9" t="n"/>
      <c r="G369" s="9" t="n"/>
      <c r="H369" s="12" t="n"/>
      <c r="I369" s="8">
        <f>IF(B369="","",IF(AND(F369&lt;&gt;"",SUMPRODUCT(--ISNUMBER(SEARCH(Preseleccionados!$A$2:$A$11,F369)))&gt;0),"YA ESTÁ",IF(AND(F369&lt;&gt;"",COUNTIF($F$3:F369,F369)&gt;1),"REPETIDO","")))</f>
        <v/>
      </c>
      <c r="J369" s="8">
        <f>IF(OR(B369="",I369&lt;&gt;""),"",IF(MOD(COUNTIFS($B$3:B369,"&lt;&gt;",$I$3:I369,""),2)=1,"Carlos","Joaquín"))</f>
        <v/>
      </c>
      <c r="K369" s="11" t="n"/>
      <c r="L369" s="11" t="n"/>
      <c r="M369" s="11" t="n"/>
      <c r="N369" s="11" t="n"/>
      <c r="O369" s="11" t="n"/>
      <c r="P369" s="8">
        <f>IF(J369="","",IF(K369="Sale","Descartado",IF(L369="Sale","Descartado",IF(OR(M369="Q3",M369="Q4",M369="No aparece"),"Descartado",IF(N369="Sale","Descartado",IF(O369="Sigue","APROBADO","En proceso"))))))</f>
        <v/>
      </c>
    </row>
    <row r="370" ht="15" customHeight="1">
      <c r="A370" s="8">
        <f>IF(B370="","",ROW()-2)</f>
        <v/>
      </c>
      <c r="B370" s="9" t="n"/>
      <c r="C370" s="9" t="n"/>
      <c r="D370" s="12" t="n"/>
      <c r="E370" s="9" t="n"/>
      <c r="F370" s="9" t="n"/>
      <c r="G370" s="9" t="n"/>
      <c r="H370" s="12" t="n"/>
      <c r="I370" s="8">
        <f>IF(B370="","",IF(AND(F370&lt;&gt;"",SUMPRODUCT(--ISNUMBER(SEARCH(Preseleccionados!$A$2:$A$11,F370)))&gt;0),"YA ESTÁ",IF(AND(F370&lt;&gt;"",COUNTIF($F$3:F370,F370)&gt;1),"REPETIDO","")))</f>
        <v/>
      </c>
      <c r="J370" s="8">
        <f>IF(OR(B370="",I370&lt;&gt;""),"",IF(MOD(COUNTIFS($B$3:B370,"&lt;&gt;",$I$3:I370,""),2)=1,"Carlos","Joaquín"))</f>
        <v/>
      </c>
      <c r="K370" s="11" t="n"/>
      <c r="L370" s="11" t="n"/>
      <c r="M370" s="11" t="n"/>
      <c r="N370" s="11" t="n"/>
      <c r="O370" s="11" t="n"/>
      <c r="P370" s="8">
        <f>IF(J370="","",IF(K370="Sale","Descartado",IF(L370="Sale","Descartado",IF(OR(M370="Q3",M370="Q4",M370="No aparece"),"Descartado",IF(N370="Sale","Descartado",IF(O370="Sigue","APROBADO","En proceso"))))))</f>
        <v/>
      </c>
    </row>
    <row r="371" ht="15" customHeight="1">
      <c r="A371" s="8">
        <f>IF(B371="","",ROW()-2)</f>
        <v/>
      </c>
      <c r="B371" s="9" t="n"/>
      <c r="C371" s="9" t="n"/>
      <c r="D371" s="12" t="n"/>
      <c r="E371" s="9" t="n"/>
      <c r="F371" s="9" t="n"/>
      <c r="G371" s="9" t="n"/>
      <c r="H371" s="12" t="n"/>
      <c r="I371" s="8">
        <f>IF(B371="","",IF(AND(F371&lt;&gt;"",SUMPRODUCT(--ISNUMBER(SEARCH(Preseleccionados!$A$2:$A$11,F371)))&gt;0),"YA ESTÁ",IF(AND(F371&lt;&gt;"",COUNTIF($F$3:F371,F371)&gt;1),"REPETIDO","")))</f>
        <v/>
      </c>
      <c r="J371" s="8">
        <f>IF(OR(B371="",I371&lt;&gt;""),"",IF(MOD(COUNTIFS($B$3:B371,"&lt;&gt;",$I$3:I371,""),2)=1,"Carlos","Joaquín"))</f>
        <v/>
      </c>
      <c r="K371" s="11" t="n"/>
      <c r="L371" s="11" t="n"/>
      <c r="M371" s="11" t="n"/>
      <c r="N371" s="11" t="n"/>
      <c r="O371" s="11" t="n"/>
      <c r="P371" s="8">
        <f>IF(J371="","",IF(K371="Sale","Descartado",IF(L371="Sale","Descartado",IF(OR(M371="Q3",M371="Q4",M371="No aparece"),"Descartado",IF(N371="Sale","Descartado",IF(O371="Sigue","APROBADO","En proceso"))))))</f>
        <v/>
      </c>
    </row>
    <row r="372" ht="15" customHeight="1">
      <c r="A372" s="8">
        <f>IF(B372="","",ROW()-2)</f>
        <v/>
      </c>
      <c r="B372" s="9" t="n"/>
      <c r="C372" s="9" t="n"/>
      <c r="D372" s="12" t="n"/>
      <c r="E372" s="9" t="n"/>
      <c r="F372" s="9" t="n"/>
      <c r="G372" s="9" t="n"/>
      <c r="H372" s="12" t="n"/>
      <c r="I372" s="8">
        <f>IF(B372="","",IF(AND(F372&lt;&gt;"",SUMPRODUCT(--ISNUMBER(SEARCH(Preseleccionados!$A$2:$A$11,F372)))&gt;0),"YA ESTÁ",IF(AND(F372&lt;&gt;"",COUNTIF($F$3:F372,F372)&gt;1),"REPETIDO","")))</f>
        <v/>
      </c>
      <c r="J372" s="8">
        <f>IF(OR(B372="",I372&lt;&gt;""),"",IF(MOD(COUNTIFS($B$3:B372,"&lt;&gt;",$I$3:I372,""),2)=1,"Carlos","Joaquín"))</f>
        <v/>
      </c>
      <c r="K372" s="11" t="n"/>
      <c r="L372" s="11" t="n"/>
      <c r="M372" s="11" t="n"/>
      <c r="N372" s="11" t="n"/>
      <c r="O372" s="11" t="n"/>
      <c r="P372" s="8">
        <f>IF(J372="","",IF(K372="Sale","Descartado",IF(L372="Sale","Descartado",IF(OR(M372="Q3",M372="Q4",M372="No aparece"),"Descartado",IF(N372="Sale","Descartado",IF(O372="Sigue","APROBADO","En proceso"))))))</f>
        <v/>
      </c>
    </row>
    <row r="373" ht="15" customHeight="1">
      <c r="A373" s="8">
        <f>IF(B373="","",ROW()-2)</f>
        <v/>
      </c>
      <c r="B373" s="9" t="n"/>
      <c r="C373" s="9" t="n"/>
      <c r="D373" s="12" t="n"/>
      <c r="E373" s="9" t="n"/>
      <c r="F373" s="9" t="n"/>
      <c r="G373" s="9" t="n"/>
      <c r="H373" s="12" t="n"/>
      <c r="I373" s="8">
        <f>IF(B373="","",IF(AND(F373&lt;&gt;"",SUMPRODUCT(--ISNUMBER(SEARCH(Preseleccionados!$A$2:$A$11,F373)))&gt;0),"YA ESTÁ",IF(AND(F373&lt;&gt;"",COUNTIF($F$3:F373,F373)&gt;1),"REPETIDO","")))</f>
        <v/>
      </c>
      <c r="J373" s="8">
        <f>IF(OR(B373="",I373&lt;&gt;""),"",IF(MOD(COUNTIFS($B$3:B373,"&lt;&gt;",$I$3:I373,""),2)=1,"Carlos","Joaquín"))</f>
        <v/>
      </c>
      <c r="K373" s="11" t="n"/>
      <c r="L373" s="11" t="n"/>
      <c r="M373" s="11" t="n"/>
      <c r="N373" s="11" t="n"/>
      <c r="O373" s="11" t="n"/>
      <c r="P373" s="8">
        <f>IF(J373="","",IF(K373="Sale","Descartado",IF(L373="Sale","Descartado",IF(OR(M373="Q3",M373="Q4",M373="No aparece"),"Descartado",IF(N373="Sale","Descartado",IF(O373="Sigue","APROBADO","En proceso"))))))</f>
        <v/>
      </c>
    </row>
    <row r="374" ht="15" customHeight="1">
      <c r="A374" s="8">
        <f>IF(B374="","",ROW()-2)</f>
        <v/>
      </c>
      <c r="B374" s="9" t="n"/>
      <c r="C374" s="9" t="n"/>
      <c r="D374" s="12" t="n"/>
      <c r="E374" s="9" t="n"/>
      <c r="F374" s="9" t="n"/>
      <c r="G374" s="9" t="n"/>
      <c r="H374" s="12" t="n"/>
      <c r="I374" s="8">
        <f>IF(B374="","",IF(AND(F374&lt;&gt;"",SUMPRODUCT(--ISNUMBER(SEARCH(Preseleccionados!$A$2:$A$11,F374)))&gt;0),"YA ESTÁ",IF(AND(F374&lt;&gt;"",COUNTIF($F$3:F374,F374)&gt;1),"REPETIDO","")))</f>
        <v/>
      </c>
      <c r="J374" s="8">
        <f>IF(OR(B374="",I374&lt;&gt;""),"",IF(MOD(COUNTIFS($B$3:B374,"&lt;&gt;",$I$3:I374,""),2)=1,"Carlos","Joaquín"))</f>
        <v/>
      </c>
      <c r="K374" s="11" t="n"/>
      <c r="L374" s="11" t="n"/>
      <c r="M374" s="11" t="n"/>
      <c r="N374" s="11" t="n"/>
      <c r="O374" s="11" t="n"/>
      <c r="P374" s="8">
        <f>IF(J374="","",IF(K374="Sale","Descartado",IF(L374="Sale","Descartado",IF(OR(M374="Q3",M374="Q4",M374="No aparece"),"Descartado",IF(N374="Sale","Descartado",IF(O374="Sigue","APROBADO","En proceso"))))))</f>
        <v/>
      </c>
    </row>
    <row r="375" ht="15" customHeight="1">
      <c r="A375" s="8">
        <f>IF(B375="","",ROW()-2)</f>
        <v/>
      </c>
      <c r="B375" s="9" t="n"/>
      <c r="C375" s="9" t="n"/>
      <c r="D375" s="12" t="n"/>
      <c r="E375" s="9" t="n"/>
      <c r="F375" s="9" t="n"/>
      <c r="G375" s="9" t="n"/>
      <c r="H375" s="12" t="n"/>
      <c r="I375" s="8">
        <f>IF(B375="","",IF(AND(F375&lt;&gt;"",SUMPRODUCT(--ISNUMBER(SEARCH(Preseleccionados!$A$2:$A$11,F375)))&gt;0),"YA ESTÁ",IF(AND(F375&lt;&gt;"",COUNTIF($F$3:F375,F375)&gt;1),"REPETIDO","")))</f>
        <v/>
      </c>
      <c r="J375" s="8">
        <f>IF(OR(B375="",I375&lt;&gt;""),"",IF(MOD(COUNTIFS($B$3:B375,"&lt;&gt;",$I$3:I375,""),2)=1,"Carlos","Joaquín"))</f>
        <v/>
      </c>
      <c r="K375" s="11" t="n"/>
      <c r="L375" s="11" t="n"/>
      <c r="M375" s="11" t="n"/>
      <c r="N375" s="11" t="n"/>
      <c r="O375" s="11" t="n"/>
      <c r="P375" s="8">
        <f>IF(J375="","",IF(K375="Sale","Descartado",IF(L375="Sale","Descartado",IF(OR(M375="Q3",M375="Q4",M375="No aparece"),"Descartado",IF(N375="Sale","Descartado",IF(O375="Sigue","APROBADO","En proceso"))))))</f>
        <v/>
      </c>
    </row>
    <row r="376" ht="15" customHeight="1">
      <c r="A376" s="8">
        <f>IF(B376="","",ROW()-2)</f>
        <v/>
      </c>
      <c r="B376" s="9" t="n"/>
      <c r="C376" s="9" t="n"/>
      <c r="D376" s="12" t="n"/>
      <c r="E376" s="9" t="n"/>
      <c r="F376" s="9" t="n"/>
      <c r="G376" s="9" t="n"/>
      <c r="H376" s="12" t="n"/>
      <c r="I376" s="8">
        <f>IF(B376="","",IF(AND(F376&lt;&gt;"",SUMPRODUCT(--ISNUMBER(SEARCH(Preseleccionados!$A$2:$A$11,F376)))&gt;0),"YA ESTÁ",IF(AND(F376&lt;&gt;"",COUNTIF($F$3:F376,F376)&gt;1),"REPETIDO","")))</f>
        <v/>
      </c>
      <c r="J376" s="8">
        <f>IF(OR(B376="",I376&lt;&gt;""),"",IF(MOD(COUNTIFS($B$3:B376,"&lt;&gt;",$I$3:I376,""),2)=1,"Carlos","Joaquín"))</f>
        <v/>
      </c>
      <c r="K376" s="11" t="n"/>
      <c r="L376" s="11" t="n"/>
      <c r="M376" s="11" t="n"/>
      <c r="N376" s="11" t="n"/>
      <c r="O376" s="11" t="n"/>
      <c r="P376" s="8">
        <f>IF(J376="","",IF(K376="Sale","Descartado",IF(L376="Sale","Descartado",IF(OR(M376="Q3",M376="Q4",M376="No aparece"),"Descartado",IF(N376="Sale","Descartado",IF(O376="Sigue","APROBADO","En proceso"))))))</f>
        <v/>
      </c>
    </row>
    <row r="377" ht="15" customHeight="1">
      <c r="A377" s="8">
        <f>IF(B377="","",ROW()-2)</f>
        <v/>
      </c>
      <c r="B377" s="9" t="n"/>
      <c r="C377" s="9" t="n"/>
      <c r="D377" s="12" t="n"/>
      <c r="E377" s="9" t="n"/>
      <c r="F377" s="9" t="n"/>
      <c r="G377" s="9" t="n"/>
      <c r="H377" s="12" t="n"/>
      <c r="I377" s="8">
        <f>IF(B377="","",IF(AND(F377&lt;&gt;"",SUMPRODUCT(--ISNUMBER(SEARCH(Preseleccionados!$A$2:$A$11,F377)))&gt;0),"YA ESTÁ",IF(AND(F377&lt;&gt;"",COUNTIF($F$3:F377,F377)&gt;1),"REPETIDO","")))</f>
        <v/>
      </c>
      <c r="J377" s="8">
        <f>IF(OR(B377="",I377&lt;&gt;""),"",IF(MOD(COUNTIFS($B$3:B377,"&lt;&gt;",$I$3:I377,""),2)=1,"Carlos","Joaquín"))</f>
        <v/>
      </c>
      <c r="K377" s="11" t="n"/>
      <c r="L377" s="11" t="n"/>
      <c r="M377" s="11" t="n"/>
      <c r="N377" s="11" t="n"/>
      <c r="O377" s="11" t="n"/>
      <c r="P377" s="8">
        <f>IF(J377="","",IF(K377="Sale","Descartado",IF(L377="Sale","Descartado",IF(OR(M377="Q3",M377="Q4",M377="No aparece"),"Descartado",IF(N377="Sale","Descartado",IF(O377="Sigue","APROBADO","En proceso"))))))</f>
        <v/>
      </c>
    </row>
    <row r="378" ht="15" customHeight="1">
      <c r="A378" s="8">
        <f>IF(B378="","",ROW()-2)</f>
        <v/>
      </c>
      <c r="B378" s="9" t="n"/>
      <c r="C378" s="9" t="n"/>
      <c r="D378" s="12" t="n"/>
      <c r="E378" s="9" t="n"/>
      <c r="F378" s="9" t="n"/>
      <c r="G378" s="9" t="n"/>
      <c r="H378" s="12" t="n"/>
      <c r="I378" s="8">
        <f>IF(B378="","",IF(AND(F378&lt;&gt;"",SUMPRODUCT(--ISNUMBER(SEARCH(Preseleccionados!$A$2:$A$11,F378)))&gt;0),"YA ESTÁ",IF(AND(F378&lt;&gt;"",COUNTIF($F$3:F378,F378)&gt;1),"REPETIDO","")))</f>
        <v/>
      </c>
      <c r="J378" s="8">
        <f>IF(OR(B378="",I378&lt;&gt;""),"",IF(MOD(COUNTIFS($B$3:B378,"&lt;&gt;",$I$3:I378,""),2)=1,"Carlos","Joaquín"))</f>
        <v/>
      </c>
      <c r="K378" s="11" t="n"/>
      <c r="L378" s="11" t="n"/>
      <c r="M378" s="11" t="n"/>
      <c r="N378" s="11" t="n"/>
      <c r="O378" s="11" t="n"/>
      <c r="P378" s="8">
        <f>IF(J378="","",IF(K378="Sale","Descartado",IF(L378="Sale","Descartado",IF(OR(M378="Q3",M378="Q4",M378="No aparece"),"Descartado",IF(N378="Sale","Descartado",IF(O378="Sigue","APROBADO","En proceso"))))))</f>
        <v/>
      </c>
    </row>
    <row r="379" ht="15" customHeight="1">
      <c r="A379" s="8">
        <f>IF(B379="","",ROW()-2)</f>
        <v/>
      </c>
      <c r="B379" s="9" t="n"/>
      <c r="C379" s="9" t="n"/>
      <c r="D379" s="12" t="n"/>
      <c r="E379" s="9" t="n"/>
      <c r="F379" s="9" t="n"/>
      <c r="G379" s="9" t="n"/>
      <c r="H379" s="12" t="n"/>
      <c r="I379" s="8">
        <f>IF(B379="","",IF(AND(F379&lt;&gt;"",SUMPRODUCT(--ISNUMBER(SEARCH(Preseleccionados!$A$2:$A$11,F379)))&gt;0),"YA ESTÁ",IF(AND(F379&lt;&gt;"",COUNTIF($F$3:F379,F379)&gt;1),"REPETIDO","")))</f>
        <v/>
      </c>
      <c r="J379" s="8">
        <f>IF(OR(B379="",I379&lt;&gt;""),"",IF(MOD(COUNTIFS($B$3:B379,"&lt;&gt;",$I$3:I379,""),2)=1,"Carlos","Joaquín"))</f>
        <v/>
      </c>
      <c r="K379" s="11" t="n"/>
      <c r="L379" s="11" t="n"/>
      <c r="M379" s="11" t="n"/>
      <c r="N379" s="11" t="n"/>
      <c r="O379" s="11" t="n"/>
      <c r="P379" s="8">
        <f>IF(J379="","",IF(K379="Sale","Descartado",IF(L379="Sale","Descartado",IF(OR(M379="Q3",M379="Q4",M379="No aparece"),"Descartado",IF(N379="Sale","Descartado",IF(O379="Sigue","APROBADO","En proceso"))))))</f>
        <v/>
      </c>
    </row>
    <row r="380" ht="15" customHeight="1">
      <c r="A380" s="8">
        <f>IF(B380="","",ROW()-2)</f>
        <v/>
      </c>
      <c r="B380" s="9" t="n"/>
      <c r="C380" s="9" t="n"/>
      <c r="D380" s="12" t="n"/>
      <c r="E380" s="9" t="n"/>
      <c r="F380" s="9" t="n"/>
      <c r="G380" s="9" t="n"/>
      <c r="H380" s="12" t="n"/>
      <c r="I380" s="8">
        <f>IF(B380="","",IF(AND(F380&lt;&gt;"",SUMPRODUCT(--ISNUMBER(SEARCH(Preseleccionados!$A$2:$A$11,F380)))&gt;0),"YA ESTÁ",IF(AND(F380&lt;&gt;"",COUNTIF($F$3:F380,F380)&gt;1),"REPETIDO","")))</f>
        <v/>
      </c>
      <c r="J380" s="8">
        <f>IF(OR(B380="",I380&lt;&gt;""),"",IF(MOD(COUNTIFS($B$3:B380,"&lt;&gt;",$I$3:I380,""),2)=1,"Carlos","Joaquín"))</f>
        <v/>
      </c>
      <c r="K380" s="11" t="n"/>
      <c r="L380" s="11" t="n"/>
      <c r="M380" s="11" t="n"/>
      <c r="N380" s="11" t="n"/>
      <c r="O380" s="11" t="n"/>
      <c r="P380" s="8">
        <f>IF(J380="","",IF(K380="Sale","Descartado",IF(L380="Sale","Descartado",IF(OR(M380="Q3",M380="Q4",M380="No aparece"),"Descartado",IF(N380="Sale","Descartado",IF(O380="Sigue","APROBADO","En proceso"))))))</f>
        <v/>
      </c>
    </row>
    <row r="381" ht="15" customHeight="1">
      <c r="A381" s="8">
        <f>IF(B381="","",ROW()-2)</f>
        <v/>
      </c>
      <c r="B381" s="9" t="n"/>
      <c r="C381" s="9" t="n"/>
      <c r="D381" s="12" t="n"/>
      <c r="E381" s="9" t="n"/>
      <c r="F381" s="9" t="n"/>
      <c r="G381" s="9" t="n"/>
      <c r="H381" s="12" t="n"/>
      <c r="I381" s="8">
        <f>IF(B381="","",IF(AND(F381&lt;&gt;"",SUMPRODUCT(--ISNUMBER(SEARCH(Preseleccionados!$A$2:$A$11,F381)))&gt;0),"YA ESTÁ",IF(AND(F381&lt;&gt;"",COUNTIF($F$3:F381,F381)&gt;1),"REPETIDO","")))</f>
        <v/>
      </c>
      <c r="J381" s="8">
        <f>IF(OR(B381="",I381&lt;&gt;""),"",IF(MOD(COUNTIFS($B$3:B381,"&lt;&gt;",$I$3:I381,""),2)=1,"Carlos","Joaquín"))</f>
        <v/>
      </c>
      <c r="K381" s="11" t="n"/>
      <c r="L381" s="11" t="n"/>
      <c r="M381" s="11" t="n"/>
      <c r="N381" s="11" t="n"/>
      <c r="O381" s="11" t="n"/>
      <c r="P381" s="8">
        <f>IF(J381="","",IF(K381="Sale","Descartado",IF(L381="Sale","Descartado",IF(OR(M381="Q3",M381="Q4",M381="No aparece"),"Descartado",IF(N381="Sale","Descartado",IF(O381="Sigue","APROBADO","En proceso"))))))</f>
        <v/>
      </c>
    </row>
    <row r="382" ht="15" customHeight="1">
      <c r="A382" s="8">
        <f>IF(B382="","",ROW()-2)</f>
        <v/>
      </c>
      <c r="B382" s="9" t="n"/>
      <c r="C382" s="9" t="n"/>
      <c r="D382" s="12" t="n"/>
      <c r="E382" s="9" t="n"/>
      <c r="F382" s="9" t="n"/>
      <c r="G382" s="9" t="n"/>
      <c r="H382" s="12" t="n"/>
      <c r="I382" s="8">
        <f>IF(B382="","",IF(AND(F382&lt;&gt;"",SUMPRODUCT(--ISNUMBER(SEARCH(Preseleccionados!$A$2:$A$11,F382)))&gt;0),"YA ESTÁ",IF(AND(F382&lt;&gt;"",COUNTIF($F$3:F382,F382)&gt;1),"REPETIDO","")))</f>
        <v/>
      </c>
      <c r="J382" s="8">
        <f>IF(OR(B382="",I382&lt;&gt;""),"",IF(MOD(COUNTIFS($B$3:B382,"&lt;&gt;",$I$3:I382,""),2)=1,"Carlos","Joaquín"))</f>
        <v/>
      </c>
      <c r="K382" s="11" t="n"/>
      <c r="L382" s="11" t="n"/>
      <c r="M382" s="11" t="n"/>
      <c r="N382" s="11" t="n"/>
      <c r="O382" s="11" t="n"/>
      <c r="P382" s="8">
        <f>IF(J382="","",IF(K382="Sale","Descartado",IF(L382="Sale","Descartado",IF(OR(M382="Q3",M382="Q4",M382="No aparece"),"Descartado",IF(N382="Sale","Descartado",IF(O382="Sigue","APROBADO","En proceso"))))))</f>
        <v/>
      </c>
    </row>
    <row r="383" ht="15" customHeight="1">
      <c r="A383" s="8">
        <f>IF(B383="","",ROW()-2)</f>
        <v/>
      </c>
      <c r="B383" s="9" t="n"/>
      <c r="C383" s="9" t="n"/>
      <c r="D383" s="12" t="n"/>
      <c r="E383" s="9" t="n"/>
      <c r="F383" s="9" t="n"/>
      <c r="G383" s="9" t="n"/>
      <c r="H383" s="12" t="n"/>
      <c r="I383" s="8">
        <f>IF(B383="","",IF(AND(F383&lt;&gt;"",SUMPRODUCT(--ISNUMBER(SEARCH(Preseleccionados!$A$2:$A$11,F383)))&gt;0),"YA ESTÁ",IF(AND(F383&lt;&gt;"",COUNTIF($F$3:F383,F383)&gt;1),"REPETIDO","")))</f>
        <v/>
      </c>
      <c r="J383" s="8">
        <f>IF(OR(B383="",I383&lt;&gt;""),"",IF(MOD(COUNTIFS($B$3:B383,"&lt;&gt;",$I$3:I383,""),2)=1,"Carlos","Joaquín"))</f>
        <v/>
      </c>
      <c r="K383" s="11" t="n"/>
      <c r="L383" s="11" t="n"/>
      <c r="M383" s="11" t="n"/>
      <c r="N383" s="11" t="n"/>
      <c r="O383" s="11" t="n"/>
      <c r="P383" s="8">
        <f>IF(J383="","",IF(K383="Sale","Descartado",IF(L383="Sale","Descartado",IF(OR(M383="Q3",M383="Q4",M383="No aparece"),"Descartado",IF(N383="Sale","Descartado",IF(O383="Sigue","APROBADO","En proceso"))))))</f>
        <v/>
      </c>
    </row>
    <row r="384" ht="15" customHeight="1">
      <c r="A384" s="8">
        <f>IF(B384="","",ROW()-2)</f>
        <v/>
      </c>
      <c r="B384" s="9" t="n"/>
      <c r="C384" s="9" t="n"/>
      <c r="D384" s="12" t="n"/>
      <c r="E384" s="9" t="n"/>
      <c r="F384" s="9" t="n"/>
      <c r="G384" s="9" t="n"/>
      <c r="H384" s="12" t="n"/>
      <c r="I384" s="8">
        <f>IF(B384="","",IF(AND(F384&lt;&gt;"",SUMPRODUCT(--ISNUMBER(SEARCH(Preseleccionados!$A$2:$A$11,F384)))&gt;0),"YA ESTÁ",IF(AND(F384&lt;&gt;"",COUNTIF($F$3:F384,F384)&gt;1),"REPETIDO","")))</f>
        <v/>
      </c>
      <c r="J384" s="8">
        <f>IF(OR(B384="",I384&lt;&gt;""),"",IF(MOD(COUNTIFS($B$3:B384,"&lt;&gt;",$I$3:I384,""),2)=1,"Carlos","Joaquín"))</f>
        <v/>
      </c>
      <c r="K384" s="11" t="n"/>
      <c r="L384" s="11" t="n"/>
      <c r="M384" s="11" t="n"/>
      <c r="N384" s="11" t="n"/>
      <c r="O384" s="11" t="n"/>
      <c r="P384" s="8">
        <f>IF(J384="","",IF(K384="Sale","Descartado",IF(L384="Sale","Descartado",IF(OR(M384="Q3",M384="Q4",M384="No aparece"),"Descartado",IF(N384="Sale","Descartado",IF(O384="Sigue","APROBADO","En proceso"))))))</f>
        <v/>
      </c>
    </row>
    <row r="385" ht="15" customHeight="1">
      <c r="A385" s="8">
        <f>IF(B385="","",ROW()-2)</f>
        <v/>
      </c>
      <c r="B385" s="9" t="n"/>
      <c r="C385" s="9" t="n"/>
      <c r="D385" s="12" t="n"/>
      <c r="E385" s="9" t="n"/>
      <c r="F385" s="9" t="n"/>
      <c r="G385" s="9" t="n"/>
      <c r="H385" s="12" t="n"/>
      <c r="I385" s="8">
        <f>IF(B385="","",IF(AND(F385&lt;&gt;"",SUMPRODUCT(--ISNUMBER(SEARCH(Preseleccionados!$A$2:$A$11,F385)))&gt;0),"YA ESTÁ",IF(AND(F385&lt;&gt;"",COUNTIF($F$3:F385,F385)&gt;1),"REPETIDO","")))</f>
        <v/>
      </c>
      <c r="J385" s="8">
        <f>IF(OR(B385="",I385&lt;&gt;""),"",IF(MOD(COUNTIFS($B$3:B385,"&lt;&gt;",$I$3:I385,""),2)=1,"Carlos","Joaquín"))</f>
        <v/>
      </c>
      <c r="K385" s="11" t="n"/>
      <c r="L385" s="11" t="n"/>
      <c r="M385" s="11" t="n"/>
      <c r="N385" s="11" t="n"/>
      <c r="O385" s="11" t="n"/>
      <c r="P385" s="8">
        <f>IF(J385="","",IF(K385="Sale","Descartado",IF(L385="Sale","Descartado",IF(OR(M385="Q3",M385="Q4",M385="No aparece"),"Descartado",IF(N385="Sale","Descartado",IF(O385="Sigue","APROBADO","En proceso"))))))</f>
        <v/>
      </c>
    </row>
    <row r="386" ht="15" customHeight="1">
      <c r="A386" s="8">
        <f>IF(B386="","",ROW()-2)</f>
        <v/>
      </c>
      <c r="B386" s="9" t="n"/>
      <c r="C386" s="9" t="n"/>
      <c r="D386" s="12" t="n"/>
      <c r="E386" s="9" t="n"/>
      <c r="F386" s="9" t="n"/>
      <c r="G386" s="9" t="n"/>
      <c r="H386" s="12" t="n"/>
      <c r="I386" s="8">
        <f>IF(B386="","",IF(AND(F386&lt;&gt;"",SUMPRODUCT(--ISNUMBER(SEARCH(Preseleccionados!$A$2:$A$11,F386)))&gt;0),"YA ESTÁ",IF(AND(F386&lt;&gt;"",COUNTIF($F$3:F386,F386)&gt;1),"REPETIDO","")))</f>
        <v/>
      </c>
      <c r="J386" s="8">
        <f>IF(OR(B386="",I386&lt;&gt;""),"",IF(MOD(COUNTIFS($B$3:B386,"&lt;&gt;",$I$3:I386,""),2)=1,"Carlos","Joaquín"))</f>
        <v/>
      </c>
      <c r="K386" s="11" t="n"/>
      <c r="L386" s="11" t="n"/>
      <c r="M386" s="11" t="n"/>
      <c r="N386" s="11" t="n"/>
      <c r="O386" s="11" t="n"/>
      <c r="P386" s="8">
        <f>IF(J386="","",IF(K386="Sale","Descartado",IF(L386="Sale","Descartado",IF(OR(M386="Q3",M386="Q4",M386="No aparece"),"Descartado",IF(N386="Sale","Descartado",IF(O386="Sigue","APROBADO","En proceso"))))))</f>
        <v/>
      </c>
    </row>
    <row r="387" ht="15" customHeight="1">
      <c r="A387" s="8">
        <f>IF(B387="","",ROW()-2)</f>
        <v/>
      </c>
      <c r="B387" s="9" t="n"/>
      <c r="C387" s="9" t="n"/>
      <c r="D387" s="12" t="n"/>
      <c r="E387" s="9" t="n"/>
      <c r="F387" s="9" t="n"/>
      <c r="G387" s="9" t="n"/>
      <c r="H387" s="12" t="n"/>
      <c r="I387" s="8">
        <f>IF(B387="","",IF(AND(F387&lt;&gt;"",SUMPRODUCT(--ISNUMBER(SEARCH(Preseleccionados!$A$2:$A$11,F387)))&gt;0),"YA ESTÁ",IF(AND(F387&lt;&gt;"",COUNTIF($F$3:F387,F387)&gt;1),"REPETIDO","")))</f>
        <v/>
      </c>
      <c r="J387" s="8">
        <f>IF(OR(B387="",I387&lt;&gt;""),"",IF(MOD(COUNTIFS($B$3:B387,"&lt;&gt;",$I$3:I387,""),2)=1,"Carlos","Joaquín"))</f>
        <v/>
      </c>
      <c r="K387" s="11" t="n"/>
      <c r="L387" s="11" t="n"/>
      <c r="M387" s="11" t="n"/>
      <c r="N387" s="11" t="n"/>
      <c r="O387" s="11" t="n"/>
      <c r="P387" s="8">
        <f>IF(J387="","",IF(K387="Sale","Descartado",IF(L387="Sale","Descartado",IF(OR(M387="Q3",M387="Q4",M387="No aparece"),"Descartado",IF(N387="Sale","Descartado",IF(O387="Sigue","APROBADO","En proceso"))))))</f>
        <v/>
      </c>
    </row>
    <row r="388" ht="15" customHeight="1">
      <c r="A388" s="8">
        <f>IF(B388="","",ROW()-2)</f>
        <v/>
      </c>
      <c r="B388" s="9" t="n"/>
      <c r="C388" s="9" t="n"/>
      <c r="D388" s="12" t="n"/>
      <c r="E388" s="9" t="n"/>
      <c r="F388" s="9" t="n"/>
      <c r="G388" s="9" t="n"/>
      <c r="H388" s="12" t="n"/>
      <c r="I388" s="8">
        <f>IF(B388="","",IF(AND(F388&lt;&gt;"",SUMPRODUCT(--ISNUMBER(SEARCH(Preseleccionados!$A$2:$A$11,F388)))&gt;0),"YA ESTÁ",IF(AND(F388&lt;&gt;"",COUNTIF($F$3:F388,F388)&gt;1),"REPETIDO","")))</f>
        <v/>
      </c>
      <c r="J388" s="8">
        <f>IF(OR(B388="",I388&lt;&gt;""),"",IF(MOD(COUNTIFS($B$3:B388,"&lt;&gt;",$I$3:I388,""),2)=1,"Carlos","Joaquín"))</f>
        <v/>
      </c>
      <c r="K388" s="11" t="n"/>
      <c r="L388" s="11" t="n"/>
      <c r="M388" s="11" t="n"/>
      <c r="N388" s="11" t="n"/>
      <c r="O388" s="11" t="n"/>
      <c r="P388" s="8">
        <f>IF(J388="","",IF(K388="Sale","Descartado",IF(L388="Sale","Descartado",IF(OR(M388="Q3",M388="Q4",M388="No aparece"),"Descartado",IF(N388="Sale","Descartado",IF(O388="Sigue","APROBADO","En proceso"))))))</f>
        <v/>
      </c>
    </row>
    <row r="389" ht="15" customHeight="1">
      <c r="A389" s="8">
        <f>IF(B389="","",ROW()-2)</f>
        <v/>
      </c>
      <c r="B389" s="9" t="n"/>
      <c r="C389" s="9" t="n"/>
      <c r="D389" s="12" t="n"/>
      <c r="E389" s="9" t="n"/>
      <c r="F389" s="9" t="n"/>
      <c r="G389" s="9" t="n"/>
      <c r="H389" s="12" t="n"/>
      <c r="I389" s="8">
        <f>IF(B389="","",IF(AND(F389&lt;&gt;"",SUMPRODUCT(--ISNUMBER(SEARCH(Preseleccionados!$A$2:$A$11,F389)))&gt;0),"YA ESTÁ",IF(AND(F389&lt;&gt;"",COUNTIF($F$3:F389,F389)&gt;1),"REPETIDO","")))</f>
        <v/>
      </c>
      <c r="J389" s="8">
        <f>IF(OR(B389="",I389&lt;&gt;""),"",IF(MOD(COUNTIFS($B$3:B389,"&lt;&gt;",$I$3:I389,""),2)=1,"Carlos","Joaquín"))</f>
        <v/>
      </c>
      <c r="K389" s="11" t="n"/>
      <c r="L389" s="11" t="n"/>
      <c r="M389" s="11" t="n"/>
      <c r="N389" s="11" t="n"/>
      <c r="O389" s="11" t="n"/>
      <c r="P389" s="8">
        <f>IF(J389="","",IF(K389="Sale","Descartado",IF(L389="Sale","Descartado",IF(OR(M389="Q3",M389="Q4",M389="No aparece"),"Descartado",IF(N389="Sale","Descartado",IF(O389="Sigue","APROBADO","En proceso"))))))</f>
        <v/>
      </c>
    </row>
    <row r="390" ht="15" customHeight="1">
      <c r="A390" s="8">
        <f>IF(B390="","",ROW()-2)</f>
        <v/>
      </c>
      <c r="B390" s="9" t="n"/>
      <c r="C390" s="9" t="n"/>
      <c r="D390" s="12" t="n"/>
      <c r="E390" s="9" t="n"/>
      <c r="F390" s="9" t="n"/>
      <c r="G390" s="9" t="n"/>
      <c r="H390" s="12" t="n"/>
      <c r="I390" s="8">
        <f>IF(B390="","",IF(AND(F390&lt;&gt;"",SUMPRODUCT(--ISNUMBER(SEARCH(Preseleccionados!$A$2:$A$11,F390)))&gt;0),"YA ESTÁ",IF(AND(F390&lt;&gt;"",COUNTIF($F$3:F390,F390)&gt;1),"REPETIDO","")))</f>
        <v/>
      </c>
      <c r="J390" s="8">
        <f>IF(OR(B390="",I390&lt;&gt;""),"",IF(MOD(COUNTIFS($B$3:B390,"&lt;&gt;",$I$3:I390,""),2)=1,"Carlos","Joaquín"))</f>
        <v/>
      </c>
      <c r="K390" s="11" t="n"/>
      <c r="L390" s="11" t="n"/>
      <c r="M390" s="11" t="n"/>
      <c r="N390" s="11" t="n"/>
      <c r="O390" s="11" t="n"/>
      <c r="P390" s="8">
        <f>IF(J390="","",IF(K390="Sale","Descartado",IF(L390="Sale","Descartado",IF(OR(M390="Q3",M390="Q4",M390="No aparece"),"Descartado",IF(N390="Sale","Descartado",IF(O390="Sigue","APROBADO","En proceso"))))))</f>
        <v/>
      </c>
    </row>
    <row r="391" ht="15" customHeight="1">
      <c r="A391" s="8">
        <f>IF(B391="","",ROW()-2)</f>
        <v/>
      </c>
      <c r="B391" s="9" t="n"/>
      <c r="C391" s="9" t="n"/>
      <c r="D391" s="12" t="n"/>
      <c r="E391" s="9" t="n"/>
      <c r="F391" s="9" t="n"/>
      <c r="G391" s="9" t="n"/>
      <c r="H391" s="12" t="n"/>
      <c r="I391" s="8">
        <f>IF(B391="","",IF(AND(F391&lt;&gt;"",SUMPRODUCT(--ISNUMBER(SEARCH(Preseleccionados!$A$2:$A$11,F391)))&gt;0),"YA ESTÁ",IF(AND(F391&lt;&gt;"",COUNTIF($F$3:F391,F391)&gt;1),"REPETIDO","")))</f>
        <v/>
      </c>
      <c r="J391" s="8">
        <f>IF(OR(B391="",I391&lt;&gt;""),"",IF(MOD(COUNTIFS($B$3:B391,"&lt;&gt;",$I$3:I391,""),2)=1,"Carlos","Joaquín"))</f>
        <v/>
      </c>
      <c r="K391" s="11" t="n"/>
      <c r="L391" s="11" t="n"/>
      <c r="M391" s="11" t="n"/>
      <c r="N391" s="11" t="n"/>
      <c r="O391" s="11" t="n"/>
      <c r="P391" s="8">
        <f>IF(J391="","",IF(K391="Sale","Descartado",IF(L391="Sale","Descartado",IF(OR(M391="Q3",M391="Q4",M391="No aparece"),"Descartado",IF(N391="Sale","Descartado",IF(O391="Sigue","APROBADO","En proceso"))))))</f>
        <v/>
      </c>
    </row>
    <row r="392" ht="15" customHeight="1">
      <c r="A392" s="8">
        <f>IF(B392="","",ROW()-2)</f>
        <v/>
      </c>
      <c r="B392" s="9" t="n"/>
      <c r="C392" s="9" t="n"/>
      <c r="D392" s="12" t="n"/>
      <c r="E392" s="9" t="n"/>
      <c r="F392" s="9" t="n"/>
      <c r="G392" s="9" t="n"/>
      <c r="H392" s="12" t="n"/>
      <c r="I392" s="8">
        <f>IF(B392="","",IF(AND(F392&lt;&gt;"",SUMPRODUCT(--ISNUMBER(SEARCH(Preseleccionados!$A$2:$A$11,F392)))&gt;0),"YA ESTÁ",IF(AND(F392&lt;&gt;"",COUNTIF($F$3:F392,F392)&gt;1),"REPETIDO","")))</f>
        <v/>
      </c>
      <c r="J392" s="8">
        <f>IF(OR(B392="",I392&lt;&gt;""),"",IF(MOD(COUNTIFS($B$3:B392,"&lt;&gt;",$I$3:I392,""),2)=1,"Carlos","Joaquín"))</f>
        <v/>
      </c>
      <c r="K392" s="11" t="n"/>
      <c r="L392" s="11" t="n"/>
      <c r="M392" s="11" t="n"/>
      <c r="N392" s="11" t="n"/>
      <c r="O392" s="11" t="n"/>
      <c r="P392" s="8">
        <f>IF(J392="","",IF(K392="Sale","Descartado",IF(L392="Sale","Descartado",IF(OR(M392="Q3",M392="Q4",M392="No aparece"),"Descartado",IF(N392="Sale","Descartado",IF(O392="Sigue","APROBADO","En proceso"))))))</f>
        <v/>
      </c>
    </row>
    <row r="393" ht="15" customHeight="1">
      <c r="A393" s="8">
        <f>IF(B393="","",ROW()-2)</f>
        <v/>
      </c>
      <c r="B393" s="9" t="n"/>
      <c r="C393" s="9" t="n"/>
      <c r="D393" s="12" t="n"/>
      <c r="E393" s="9" t="n"/>
      <c r="F393" s="9" t="n"/>
      <c r="G393" s="9" t="n"/>
      <c r="H393" s="12" t="n"/>
      <c r="I393" s="8">
        <f>IF(B393="","",IF(AND(F393&lt;&gt;"",SUMPRODUCT(--ISNUMBER(SEARCH(Preseleccionados!$A$2:$A$11,F393)))&gt;0),"YA ESTÁ",IF(AND(F393&lt;&gt;"",COUNTIF($F$3:F393,F393)&gt;1),"REPETIDO","")))</f>
        <v/>
      </c>
      <c r="J393" s="8">
        <f>IF(OR(B393="",I393&lt;&gt;""),"",IF(MOD(COUNTIFS($B$3:B393,"&lt;&gt;",$I$3:I393,""),2)=1,"Carlos","Joaquín"))</f>
        <v/>
      </c>
      <c r="K393" s="11" t="n"/>
      <c r="L393" s="11" t="n"/>
      <c r="M393" s="11" t="n"/>
      <c r="N393" s="11" t="n"/>
      <c r="O393" s="11" t="n"/>
      <c r="P393" s="8">
        <f>IF(J393="","",IF(K393="Sale","Descartado",IF(L393="Sale","Descartado",IF(OR(M393="Q3",M393="Q4",M393="No aparece"),"Descartado",IF(N393="Sale","Descartado",IF(O393="Sigue","APROBADO","En proceso"))))))</f>
        <v/>
      </c>
    </row>
    <row r="394" ht="15" customHeight="1">
      <c r="A394" s="8">
        <f>IF(B394="","",ROW()-2)</f>
        <v/>
      </c>
      <c r="B394" s="9" t="n"/>
      <c r="C394" s="9" t="n"/>
      <c r="D394" s="12" t="n"/>
      <c r="E394" s="9" t="n"/>
      <c r="F394" s="9" t="n"/>
      <c r="G394" s="9" t="n"/>
      <c r="H394" s="12" t="n"/>
      <c r="I394" s="8">
        <f>IF(B394="","",IF(AND(F394&lt;&gt;"",SUMPRODUCT(--ISNUMBER(SEARCH(Preseleccionados!$A$2:$A$11,F394)))&gt;0),"YA ESTÁ",IF(AND(F394&lt;&gt;"",COUNTIF($F$3:F394,F394)&gt;1),"REPETIDO","")))</f>
        <v/>
      </c>
      <c r="J394" s="8">
        <f>IF(OR(B394="",I394&lt;&gt;""),"",IF(MOD(COUNTIFS($B$3:B394,"&lt;&gt;",$I$3:I394,""),2)=1,"Carlos","Joaquín"))</f>
        <v/>
      </c>
      <c r="K394" s="11" t="n"/>
      <c r="L394" s="11" t="n"/>
      <c r="M394" s="11" t="n"/>
      <c r="N394" s="11" t="n"/>
      <c r="O394" s="11" t="n"/>
      <c r="P394" s="8">
        <f>IF(J394="","",IF(K394="Sale","Descartado",IF(L394="Sale","Descartado",IF(OR(M394="Q3",M394="Q4",M394="No aparece"),"Descartado",IF(N394="Sale","Descartado",IF(O394="Sigue","APROBADO","En proceso"))))))</f>
        <v/>
      </c>
    </row>
    <row r="395" ht="15" customHeight="1">
      <c r="A395" s="8">
        <f>IF(B395="","",ROW()-2)</f>
        <v/>
      </c>
      <c r="B395" s="9" t="n"/>
      <c r="C395" s="9" t="n"/>
      <c r="D395" s="12" t="n"/>
      <c r="E395" s="9" t="n"/>
      <c r="F395" s="9" t="n"/>
      <c r="G395" s="9" t="n"/>
      <c r="H395" s="12" t="n"/>
      <c r="I395" s="8">
        <f>IF(B395="","",IF(AND(F395&lt;&gt;"",SUMPRODUCT(--ISNUMBER(SEARCH(Preseleccionados!$A$2:$A$11,F395)))&gt;0),"YA ESTÁ",IF(AND(F395&lt;&gt;"",COUNTIF($F$3:F395,F395)&gt;1),"REPETIDO","")))</f>
        <v/>
      </c>
      <c r="J395" s="8">
        <f>IF(OR(B395="",I395&lt;&gt;""),"",IF(MOD(COUNTIFS($B$3:B395,"&lt;&gt;",$I$3:I395,""),2)=1,"Carlos","Joaquín"))</f>
        <v/>
      </c>
      <c r="K395" s="11" t="n"/>
      <c r="L395" s="11" t="n"/>
      <c r="M395" s="11" t="n"/>
      <c r="N395" s="11" t="n"/>
      <c r="O395" s="11" t="n"/>
      <c r="P395" s="8">
        <f>IF(J395="","",IF(K395="Sale","Descartado",IF(L395="Sale","Descartado",IF(OR(M395="Q3",M395="Q4",M395="No aparece"),"Descartado",IF(N395="Sale","Descartado",IF(O395="Sigue","APROBADO","En proceso"))))))</f>
        <v/>
      </c>
    </row>
    <row r="396" ht="15" customHeight="1">
      <c r="A396" s="8">
        <f>IF(B396="","",ROW()-2)</f>
        <v/>
      </c>
      <c r="B396" s="9" t="n"/>
      <c r="C396" s="9" t="n"/>
      <c r="D396" s="12" t="n"/>
      <c r="E396" s="9" t="n"/>
      <c r="F396" s="9" t="n"/>
      <c r="G396" s="9" t="n"/>
      <c r="H396" s="12" t="n"/>
      <c r="I396" s="8">
        <f>IF(B396="","",IF(AND(F396&lt;&gt;"",SUMPRODUCT(--ISNUMBER(SEARCH(Preseleccionados!$A$2:$A$11,F396)))&gt;0),"YA ESTÁ",IF(AND(F396&lt;&gt;"",COUNTIF($F$3:F396,F396)&gt;1),"REPETIDO","")))</f>
        <v/>
      </c>
      <c r="J396" s="8">
        <f>IF(OR(B396="",I396&lt;&gt;""),"",IF(MOD(COUNTIFS($B$3:B396,"&lt;&gt;",$I$3:I396,""),2)=1,"Carlos","Joaquín"))</f>
        <v/>
      </c>
      <c r="K396" s="11" t="n"/>
      <c r="L396" s="11" t="n"/>
      <c r="M396" s="11" t="n"/>
      <c r="N396" s="11" t="n"/>
      <c r="O396" s="11" t="n"/>
      <c r="P396" s="8">
        <f>IF(J396="","",IF(K396="Sale","Descartado",IF(L396="Sale","Descartado",IF(OR(M396="Q3",M396="Q4",M396="No aparece"),"Descartado",IF(N396="Sale","Descartado",IF(O396="Sigue","APROBADO","En proceso"))))))</f>
        <v/>
      </c>
    </row>
    <row r="397" ht="15" customHeight="1">
      <c r="A397" s="8">
        <f>IF(B397="","",ROW()-2)</f>
        <v/>
      </c>
      <c r="B397" s="9" t="n"/>
      <c r="C397" s="9" t="n"/>
      <c r="D397" s="12" t="n"/>
      <c r="E397" s="9" t="n"/>
      <c r="F397" s="9" t="n"/>
      <c r="G397" s="9" t="n"/>
      <c r="H397" s="12" t="n"/>
      <c r="I397" s="8">
        <f>IF(B397="","",IF(AND(F397&lt;&gt;"",SUMPRODUCT(--ISNUMBER(SEARCH(Preseleccionados!$A$2:$A$11,F397)))&gt;0),"YA ESTÁ",IF(AND(F397&lt;&gt;"",COUNTIF($F$3:F397,F397)&gt;1),"REPETIDO","")))</f>
        <v/>
      </c>
      <c r="J397" s="8">
        <f>IF(OR(B397="",I397&lt;&gt;""),"",IF(MOD(COUNTIFS($B$3:B397,"&lt;&gt;",$I$3:I397,""),2)=1,"Carlos","Joaquín"))</f>
        <v/>
      </c>
      <c r="K397" s="11" t="n"/>
      <c r="L397" s="11" t="n"/>
      <c r="M397" s="11" t="n"/>
      <c r="N397" s="11" t="n"/>
      <c r="O397" s="11" t="n"/>
      <c r="P397" s="8">
        <f>IF(J397="","",IF(K397="Sale","Descartado",IF(L397="Sale","Descartado",IF(OR(M397="Q3",M397="Q4",M397="No aparece"),"Descartado",IF(N397="Sale","Descartado",IF(O397="Sigue","APROBADO","En proceso"))))))</f>
        <v/>
      </c>
    </row>
    <row r="398" ht="15" customHeight="1">
      <c r="A398" s="8">
        <f>IF(B398="","",ROW()-2)</f>
        <v/>
      </c>
      <c r="B398" s="9" t="n"/>
      <c r="C398" s="9" t="n"/>
      <c r="D398" s="12" t="n"/>
      <c r="E398" s="9" t="n"/>
      <c r="F398" s="9" t="n"/>
      <c r="G398" s="9" t="n"/>
      <c r="H398" s="12" t="n"/>
      <c r="I398" s="8">
        <f>IF(B398="","",IF(AND(F398&lt;&gt;"",SUMPRODUCT(--ISNUMBER(SEARCH(Preseleccionados!$A$2:$A$11,F398)))&gt;0),"YA ESTÁ",IF(AND(F398&lt;&gt;"",COUNTIF($F$3:F398,F398)&gt;1),"REPETIDO","")))</f>
        <v/>
      </c>
      <c r="J398" s="8">
        <f>IF(OR(B398="",I398&lt;&gt;""),"",IF(MOD(COUNTIFS($B$3:B398,"&lt;&gt;",$I$3:I398,""),2)=1,"Carlos","Joaquín"))</f>
        <v/>
      </c>
      <c r="K398" s="11" t="n"/>
      <c r="L398" s="11" t="n"/>
      <c r="M398" s="11" t="n"/>
      <c r="N398" s="11" t="n"/>
      <c r="O398" s="11" t="n"/>
      <c r="P398" s="8">
        <f>IF(J398="","",IF(K398="Sale","Descartado",IF(L398="Sale","Descartado",IF(OR(M398="Q3",M398="Q4",M398="No aparece"),"Descartado",IF(N398="Sale","Descartado",IF(O398="Sigue","APROBADO","En proceso"))))))</f>
        <v/>
      </c>
    </row>
    <row r="399" ht="15" customHeight="1">
      <c r="A399" s="8">
        <f>IF(B399="","",ROW()-2)</f>
        <v/>
      </c>
      <c r="B399" s="9" t="n"/>
      <c r="C399" s="9" t="n"/>
      <c r="D399" s="12" t="n"/>
      <c r="E399" s="9" t="n"/>
      <c r="F399" s="9" t="n"/>
      <c r="G399" s="9" t="n"/>
      <c r="H399" s="12" t="n"/>
      <c r="I399" s="8">
        <f>IF(B399="","",IF(AND(F399&lt;&gt;"",SUMPRODUCT(--ISNUMBER(SEARCH(Preseleccionados!$A$2:$A$11,F399)))&gt;0),"YA ESTÁ",IF(AND(F399&lt;&gt;"",COUNTIF($F$3:F399,F399)&gt;1),"REPETIDO","")))</f>
        <v/>
      </c>
      <c r="J399" s="8">
        <f>IF(OR(B399="",I399&lt;&gt;""),"",IF(MOD(COUNTIFS($B$3:B399,"&lt;&gt;",$I$3:I399,""),2)=1,"Carlos","Joaquín"))</f>
        <v/>
      </c>
      <c r="K399" s="11" t="n"/>
      <c r="L399" s="11" t="n"/>
      <c r="M399" s="11" t="n"/>
      <c r="N399" s="11" t="n"/>
      <c r="O399" s="11" t="n"/>
      <c r="P399" s="8">
        <f>IF(J399="","",IF(K399="Sale","Descartado",IF(L399="Sale","Descartado",IF(OR(M399="Q3",M399="Q4",M399="No aparece"),"Descartado",IF(N399="Sale","Descartado",IF(O399="Sigue","APROBADO","En proceso"))))))</f>
        <v/>
      </c>
    </row>
    <row r="400" ht="15" customHeight="1">
      <c r="A400" s="8">
        <f>IF(B400="","",ROW()-2)</f>
        <v/>
      </c>
      <c r="B400" s="9" t="n"/>
      <c r="C400" s="9" t="n"/>
      <c r="D400" s="12" t="n"/>
      <c r="E400" s="9" t="n"/>
      <c r="F400" s="9" t="n"/>
      <c r="G400" s="9" t="n"/>
      <c r="H400" s="12" t="n"/>
      <c r="I400" s="8">
        <f>IF(B400="","",IF(AND(F400&lt;&gt;"",SUMPRODUCT(--ISNUMBER(SEARCH(Preseleccionados!$A$2:$A$11,F400)))&gt;0),"YA ESTÁ",IF(AND(F400&lt;&gt;"",COUNTIF($F$3:F400,F400)&gt;1),"REPETIDO","")))</f>
        <v/>
      </c>
      <c r="J400" s="8">
        <f>IF(OR(B400="",I400&lt;&gt;""),"",IF(MOD(COUNTIFS($B$3:B400,"&lt;&gt;",$I$3:I400,""),2)=1,"Carlos","Joaquín"))</f>
        <v/>
      </c>
      <c r="K400" s="11" t="n"/>
      <c r="L400" s="11" t="n"/>
      <c r="M400" s="11" t="n"/>
      <c r="N400" s="11" t="n"/>
      <c r="O400" s="11" t="n"/>
      <c r="P400" s="8">
        <f>IF(J400="","",IF(K400="Sale","Descartado",IF(L400="Sale","Descartado",IF(OR(M400="Q3",M400="Q4",M400="No aparece"),"Descartado",IF(N400="Sale","Descartado",IF(O400="Sigue","APROBADO","En proceso"))))))</f>
        <v/>
      </c>
    </row>
    <row r="401" ht="15" customHeight="1">
      <c r="A401" s="8">
        <f>IF(B401="","",ROW()-2)</f>
        <v/>
      </c>
      <c r="B401" s="9" t="n"/>
      <c r="C401" s="9" t="n"/>
      <c r="D401" s="12" t="n"/>
      <c r="E401" s="9" t="n"/>
      <c r="F401" s="9" t="n"/>
      <c r="G401" s="9" t="n"/>
      <c r="H401" s="12" t="n"/>
      <c r="I401" s="8">
        <f>IF(B401="","",IF(AND(F401&lt;&gt;"",SUMPRODUCT(--ISNUMBER(SEARCH(Preseleccionados!$A$2:$A$11,F401)))&gt;0),"YA ESTÁ",IF(AND(F401&lt;&gt;"",COUNTIF($F$3:F401,F401)&gt;1),"REPETIDO","")))</f>
        <v/>
      </c>
      <c r="J401" s="8">
        <f>IF(OR(B401="",I401&lt;&gt;""),"",IF(MOD(COUNTIFS($B$3:B401,"&lt;&gt;",$I$3:I401,""),2)=1,"Carlos","Joaquín"))</f>
        <v/>
      </c>
      <c r="K401" s="11" t="n"/>
      <c r="L401" s="11" t="n"/>
      <c r="M401" s="11" t="n"/>
      <c r="N401" s="11" t="n"/>
      <c r="O401" s="11" t="n"/>
      <c r="P401" s="8">
        <f>IF(J401="","",IF(K401="Sale","Descartado",IF(L401="Sale","Descartado",IF(OR(M401="Q3",M401="Q4",M401="No aparece"),"Descartado",IF(N401="Sale","Descartado",IF(O401="Sigue","APROBADO","En proceso"))))))</f>
        <v/>
      </c>
    </row>
    <row r="402" ht="15" customHeight="1">
      <c r="A402" s="8">
        <f>IF(B402="","",ROW()-2)</f>
        <v/>
      </c>
      <c r="B402" s="9" t="n"/>
      <c r="C402" s="9" t="n"/>
      <c r="D402" s="12" t="n"/>
      <c r="E402" s="9" t="n"/>
      <c r="F402" s="9" t="n"/>
      <c r="G402" s="9" t="n"/>
      <c r="H402" s="12" t="n"/>
      <c r="I402" s="8">
        <f>IF(B402="","",IF(AND(F402&lt;&gt;"",SUMPRODUCT(--ISNUMBER(SEARCH(Preseleccionados!$A$2:$A$11,F402)))&gt;0),"YA ESTÁ",IF(AND(F402&lt;&gt;"",COUNTIF($F$3:F402,F402)&gt;1),"REPETIDO","")))</f>
        <v/>
      </c>
      <c r="J402" s="8">
        <f>IF(OR(B402="",I402&lt;&gt;""),"",IF(MOD(COUNTIFS($B$3:B402,"&lt;&gt;",$I$3:I402,""),2)=1,"Carlos","Joaquín"))</f>
        <v/>
      </c>
      <c r="K402" s="11" t="n"/>
      <c r="L402" s="11" t="n"/>
      <c r="M402" s="11" t="n"/>
      <c r="N402" s="11" t="n"/>
      <c r="O402" s="11" t="n"/>
      <c r="P402" s="8">
        <f>IF(J402="","",IF(K402="Sale","Descartado",IF(L402="Sale","Descartado",IF(OR(M402="Q3",M402="Q4",M402="No aparece"),"Descartado",IF(N402="Sale","Descartado",IF(O402="Sigue","APROBADO","En proceso"))))))</f>
        <v/>
      </c>
    </row>
  </sheetData>
  <autoFilter ref="A2:R402">
    <filterColumn colId="9" hiddenButton="0" showButton="1">
      <filters>
        <filter val="Joaquín"/>
      </filters>
    </filterColumn>
  </autoFilter>
  <conditionalFormatting sqref="A3:P402">
    <cfRule type="expression" priority="2" dxfId="1">
      <formula>$I3&lt;&gt;""</formula>
    </cfRule>
  </conditionalFormatting>
  <conditionalFormatting sqref="P3:P402">
    <cfRule type="expression" priority="3" dxfId="0">
      <formula>$P3="APROBADO"</formula>
    </cfRule>
  </conditionalFormatting>
  <dataValidations count="3">
    <dataValidation sqref="K3:L402 N3:O402" showDropDown="0" showInputMessage="0" showErrorMessage="0" allowBlank="1" type="list">
      <formula1>"Sigue,Sale"</formula1>
      <formula2>0</formula2>
    </dataValidation>
    <dataValidation sqref="M3:M402" showDropDown="0" showInputMessage="0" showErrorMessage="0" allowBlank="1" type="list">
      <formula1>"Q1,Q2,Q3,Q4,No aparece"</formula1>
      <formula2>0</formula2>
    </dataValidation>
    <dataValidation sqref="H3:H402" showDropDown="0" showInputMessage="0" showErrorMessage="0" allowBlank="1" type="list">
      <formula1>"Scopus,Web of Science,IEEE Xplore,ScienceDirect"</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8"/>
  <sheetViews>
    <sheetView zoomScaleNormal="100" workbookViewId="0">
      <selection activeCell="B55" sqref="B55"/>
    </sheetView>
  </sheetViews>
  <sheetFormatPr baseColWidth="10" defaultColWidth="8.6328125" defaultRowHeight="14.5"/>
  <cols>
    <col width="6" customWidth="1" min="1" max="1"/>
    <col width="60" customWidth="1" min="2" max="2"/>
    <col width="14" customWidth="1" min="3" max="5"/>
  </cols>
  <sheetData>
    <row r="1" ht="17.25" customHeight="1">
      <c r="A1" s="1" t="inlineStr">
        <is>
          <t>Números para el embudo (se calculan solos, no tocar)</t>
        </is>
      </c>
    </row>
    <row r="3" ht="15" customHeight="1">
      <c r="B3" s="13" t="inlineStr">
        <is>
          <t>Toda la lista</t>
        </is>
      </c>
      <c r="C3" s="13" t="inlineStr">
        <is>
          <t>Cantidad</t>
        </is>
      </c>
    </row>
    <row r="4" ht="15" customHeight="1">
      <c r="A4" s="14" t="inlineStr">
        <is>
          <t>A</t>
        </is>
      </c>
      <c r="B4" s="15" t="inlineStr">
        <is>
          <t>Filas pegadas en total</t>
        </is>
      </c>
      <c r="C4" s="16">
        <f>COUNTA(Candidatos!$B$3:$B$402)</f>
        <v/>
      </c>
    </row>
    <row r="5" ht="15" customHeight="1">
      <c r="A5" s="14" t="inlineStr">
        <is>
          <t>B</t>
        </is>
      </c>
      <c r="B5" s="15" t="inlineStr">
        <is>
          <t>Repetidos (mismo DOI)</t>
        </is>
      </c>
      <c r="C5" s="16">
        <f>COUNTIF(Candidatos!$I$3:$I$402,"REPETIDO")</f>
        <v/>
      </c>
    </row>
    <row r="6" ht="15" customHeight="1">
      <c r="A6" s="14" t="inlineStr">
        <is>
          <t>C</t>
        </is>
      </c>
      <c r="B6" s="15" t="inlineStr">
        <is>
          <t>Ya estaban entre los 10 preseleccionados</t>
        </is>
      </c>
      <c r="C6" s="16">
        <f>COUNTIF(Candidatos!$I$3:$I$402,"YA ESTÁ")</f>
        <v/>
      </c>
    </row>
    <row r="7" ht="15" customHeight="1">
      <c r="A7" s="14" t="n"/>
      <c r="B7" s="17" t="inlineStr">
        <is>
          <t>Para el embudo, fila 2 "Repetidos que borraste": B + C</t>
        </is>
      </c>
      <c r="C7" s="16">
        <f>C5+C6</f>
        <v/>
      </c>
    </row>
    <row r="10" ht="15" customHeight="1">
      <c r="A10" s="13" t="inlineStr">
        <is>
          <t>N.°</t>
        </is>
      </c>
      <c r="B10" s="13" t="inlineStr">
        <is>
          <t>Por persona, después de cada filtro</t>
        </is>
      </c>
      <c r="C10" s="13" t="inlineStr">
        <is>
          <t>Carlos</t>
        </is>
      </c>
      <c r="D10" s="13" t="inlineStr">
        <is>
          <t>Joaquín</t>
        </is>
      </c>
      <c r="E10" s="13" t="inlineStr">
        <is>
          <t>TOTAL</t>
        </is>
      </c>
    </row>
    <row r="11" ht="15" customHeight="1">
      <c r="A11" s="14" t="n">
        <v>1</v>
      </c>
      <c r="B11" s="15" t="inlineStr">
        <is>
          <t>Candidatos asignados</t>
        </is>
      </c>
      <c r="C11" s="16">
        <f>COUNTIF(Candidatos!$J$3:$J$402,"Carlos")</f>
        <v/>
      </c>
      <c r="D11" s="16">
        <f>COUNTIF(Candidatos!$J$3:$J$402,"Joaquín")</f>
        <v/>
      </c>
      <c r="E11" s="18">
        <f>C11+D11</f>
        <v/>
      </c>
    </row>
    <row r="12" ht="15" customHeight="1">
      <c r="A12" s="14" t="n">
        <v>2</v>
      </c>
      <c r="B12" s="15" t="inlineStr">
        <is>
          <t>Quedan tras leer el TÍTULO</t>
        </is>
      </c>
      <c r="C12" s="16">
        <f>COUNTIFS(Candidatos!$J$3:$J$402,"Carlos",Candidatos!$K$3:$K$402,"Sigue")</f>
        <v/>
      </c>
      <c r="D12" s="16">
        <f>COUNTIFS(Candidatos!$J$3:$J$402,"Joaquín",Candidatos!$K$3:$K$402,"Sigue")</f>
        <v/>
      </c>
      <c r="E12" s="18">
        <f>C12+D12</f>
        <v/>
      </c>
    </row>
    <row r="13" ht="15" customHeight="1">
      <c r="A13" s="14" t="n">
        <v>3</v>
      </c>
      <c r="B13" s="15" t="inlineStr">
        <is>
          <t>Quedan tras leer el RESUMEN</t>
        </is>
      </c>
      <c r="C13" s="16">
        <f>COUNTIFS(Candidatos!$J$3:$J$402,"Carlos",Candidatos!$K$3:$K$402,"Sigue",Candidatos!$L$3:$L$402,"Sigue")</f>
        <v/>
      </c>
      <c r="D13" s="16">
        <f>COUNTIFS(Candidatos!$J$3:$J$402,"Joaquín",Candidatos!$K$3:$K$402,"Sigue",Candidatos!$L$3:$L$402,"Sigue")</f>
        <v/>
      </c>
      <c r="E13" s="18">
        <f>C13+D13</f>
        <v/>
      </c>
    </row>
    <row r="14" ht="15" customHeight="1">
      <c r="A14" s="14" t="n">
        <v>4</v>
      </c>
      <c r="B14" s="15" t="inlineStr">
        <is>
          <t>Quedan tras verificar el CUARTIL (Q1 o Q2)</t>
        </is>
      </c>
      <c r="C14" s="16">
        <f>COUNTIFS(Candidatos!$J$3:$J$402,"Carlos",Candidatos!$K$3:$K$402,"Sigue",Candidatos!$L$3:$L$402,"Sigue",Candidatos!$M$3:$M$402,"Q1")+COUNTIFS(Candidatos!$J$3:$J$402,"Carlos",Candidatos!$K$3:$K$402,"Sigue",Candidatos!$L$3:$L$402,"Sigue",Candidatos!$M$3:$M$402,"Q2")</f>
        <v/>
      </c>
      <c r="D14" s="16">
        <f>COUNTIFS(Candidatos!$J$3:$J$402,"Joaquín",Candidatos!$K$3:$K$402,"Sigue",Candidatos!$L$3:$L$402,"Sigue",Candidatos!$M$3:$M$402,"Q1")+COUNTIFS(Candidatos!$J$3:$J$402,"Joaquín",Candidatos!$K$3:$K$402,"Sigue",Candidatos!$L$3:$L$402,"Sigue",Candidatos!$M$3:$M$402,"Q2")</f>
        <v/>
      </c>
      <c r="E14" s="18">
        <f>C14+D14</f>
        <v/>
      </c>
    </row>
    <row r="15" ht="15" customHeight="1">
      <c r="A15" s="14" t="n">
        <v>5</v>
      </c>
      <c r="B15" s="15" t="inlineStr">
        <is>
          <t>Quedan tras INTRODUCCIÓN y CONCLUSIONES</t>
        </is>
      </c>
      <c r="C15" s="16">
        <f>COUNTIFS(Candidatos!$J$3:$J$402,"Carlos",Candidatos!$L$3:$L$402,"Sigue",Candidatos!$N$3:$N$402,"Sigue",Candidatos!$M$3:$M$402,"Q1")+COUNTIFS(Candidatos!$J$3:$J$402,"Carlos",Candidatos!$L$3:$L$402,"Sigue",Candidatos!$N$3:$N$402,"Sigue",Candidatos!$M$3:$M$402,"Q2")</f>
        <v/>
      </c>
      <c r="D15" s="16">
        <f>COUNTIFS(Candidatos!$J$3:$J$402,"Joaquín",Candidatos!$L$3:$L$402,"Sigue",Candidatos!$N$3:$N$402,"Sigue",Candidatos!$M$3:$M$402,"Q1")+COUNTIFS(Candidatos!$J$3:$J$402,"Joaquín",Candidatos!$L$3:$L$402,"Sigue",Candidatos!$N$3:$N$402,"Sigue",Candidatos!$M$3:$M$402,"Q2")</f>
        <v/>
      </c>
      <c r="E15" s="18">
        <f>C15+D15</f>
        <v/>
      </c>
    </row>
    <row r="16" ht="15" customHeight="1">
      <c r="A16" s="14" t="n">
        <v>6</v>
      </c>
      <c r="B16" s="15" t="inlineStr">
        <is>
          <t>Quedan tras leer el ARTÍCULO COMPLETO (aprobados)</t>
        </is>
      </c>
      <c r="C16" s="16">
        <f>COUNTIFS(Candidatos!$J$3:$J$402,"Carlos",Candidatos!$P$3:$P$402,"APROBADO")</f>
        <v/>
      </c>
      <c r="D16" s="16">
        <f>COUNTIFS(Candidatos!$J$3:$J$402,"Joaquín",Candidatos!$P$3:$P$402,"APROBADO")</f>
        <v/>
      </c>
      <c r="E16" s="18">
        <f>C16+D16</f>
        <v/>
      </c>
    </row>
    <row r="18" ht="15" customHeight="1">
      <c r="B18" s="19" t="inlineStr">
        <is>
          <t>Las filas 2 a 6 de esta tabla son las filas 4 a 8 del embudo de Matriz_Carlos.xlsx.</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11"/>
  <sheetViews>
    <sheetView zoomScaleNormal="100" workbookViewId="0">
      <selection activeCell="A1" sqref="A1"/>
    </sheetView>
  </sheetViews>
  <sheetFormatPr baseColWidth="10" defaultColWidth="8.6328125" defaultRowHeight="14.5"/>
  <cols>
    <col width="50" customWidth="1" min="1" max="1"/>
  </cols>
  <sheetData>
    <row r="1" ht="15" customHeight="1">
      <c r="A1" s="2" t="inlineStr">
        <is>
          <t>DOI de los 10 artículos ya cargados (no tocar)</t>
        </is>
      </c>
    </row>
    <row r="2" ht="15" customHeight="1">
      <c r="A2" s="20" t="inlineStr">
        <is>
          <t>10.1108/JMLC-09-2024-0152</t>
        </is>
      </c>
    </row>
    <row r="3" ht="15" customHeight="1">
      <c r="A3" s="20" t="inlineStr">
        <is>
          <t>10.1007/s10489-026-07138-9</t>
        </is>
      </c>
    </row>
    <row r="4" ht="15" customHeight="1">
      <c r="A4" s="20" t="inlineStr">
        <is>
          <t>10.1109/ACCESS.2024.3399824</t>
        </is>
      </c>
    </row>
    <row r="5" ht="15" customHeight="1">
      <c r="A5" s="20" t="inlineStr">
        <is>
          <t>10.1108/JMLC-07-2024-0114</t>
        </is>
      </c>
    </row>
    <row r="6" ht="15" customHeight="1">
      <c r="A6" s="20" t="inlineStr">
        <is>
          <t>10.1016/j.future.2024.05.027</t>
        </is>
      </c>
    </row>
    <row r="7" ht="15" customHeight="1">
      <c r="A7" s="20" t="inlineStr">
        <is>
          <t>10.1007/s44163-025-00397-4</t>
        </is>
      </c>
    </row>
    <row r="8" ht="15" customHeight="1">
      <c r="A8" s="20" t="inlineStr">
        <is>
          <t>10.1007/s11227-023-05708-z</t>
        </is>
      </c>
    </row>
    <row r="9" ht="15" customHeight="1">
      <c r="A9" s="20" t="inlineStr">
        <is>
          <t>S2666827026000216</t>
        </is>
      </c>
    </row>
    <row r="10" ht="15" customHeight="1">
      <c r="A10" s="20" t="inlineStr">
        <is>
          <t>10.1109/TIFS.2024.3380262</t>
        </is>
      </c>
    </row>
    <row r="11" ht="15" customHeight="1">
      <c r="A11" s="20" t="inlineStr">
        <is>
          <t>10.1108/JMLC-03-2024-0040</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2026-10-03T02:08:30Z</dcterms:created>
  <dcterms:modified xmlns:dcterms="http://purl.org/dc/terms/" xmlns:xsi="http://www.w3.org/2001/XMLSchema-instance" xsi:type="dcterms:W3CDTF">2026-10-07T01:22:55Z</dcterms:modified>
  <cp:lastModifiedBy>u20241b476 (Yoplac Navarro, Joaquin Sebastian)</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0x01010079A9A32256AB0543B863AC6C35F3D1B6</vt:lpwstr>
  </property>
</Properties>
</file>