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1. Mis articulos" sheetId="2" state="visible" r:id="rId2"/>
    <sheet xmlns:r="http://schemas.openxmlformats.org/officeDocument/2006/relationships" name="2. Mi avance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F3864"/>
      <sz val="10"/>
    </font>
  </fonts>
  <fills count="10">
    <fill>
      <patternFill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E2EFDA"/>
        <bgColor rgb="FFEDEDED"/>
      </patternFill>
    </fill>
    <fill>
      <patternFill patternType="solid">
        <fgColor rgb="FFFFD966"/>
        <bgColor rgb="FFFFFF99"/>
      </patternFill>
    </fill>
    <fill>
      <patternFill patternType="solid">
        <fgColor rgb="FFBFBFBF"/>
        <bgColor rgb="FFCCCCFF"/>
      </patternFill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DDEBF7"/>
        <bgColor rgb="FFEDEDED"/>
      </patternFill>
    </fill>
  </fills>
  <borders count="5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general" vertical="top" wrapText="1"/>
    </xf>
    <xf numFmtId="0" fontId="6" fillId="3" borderId="0" applyAlignment="1" pivotButton="0" quotePrefix="0" xfId="0">
      <alignment horizontal="general" vertical="top" wrapText="1"/>
    </xf>
    <xf numFmtId="0" fontId="6" fillId="4" borderId="0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general" vertical="center"/>
    </xf>
    <xf numFmtId="0" fontId="6" fillId="0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general" vertical="top" wrapText="1"/>
    </xf>
    <xf numFmtId="0" fontId="6" fillId="2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general" vertical="top" wrapText="1"/>
    </xf>
    <xf numFmtId="0" fontId="6" fillId="0" borderId="2" applyAlignment="1" pivotButton="0" quotePrefix="0" xfId="0">
      <alignment horizontal="general" vertical="bottom"/>
    </xf>
    <xf numFmtId="0" fontId="5" fillId="4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general" vertical="top" wrapText="1"/>
    </xf>
    <xf numFmtId="0" fontId="6" fillId="3" borderId="0" applyAlignment="1" pivotButton="0" quotePrefix="0" xfId="0">
      <alignment horizontal="general" vertical="top" wrapText="1"/>
    </xf>
    <xf numFmtId="0" fontId="6" fillId="4" borderId="0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7" fillId="6" borderId="1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general" vertical="center"/>
    </xf>
    <xf numFmtId="0" fontId="6" fillId="0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general" vertical="top" wrapText="1"/>
    </xf>
    <xf numFmtId="0" fontId="6" fillId="2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general" vertical="top" wrapText="1"/>
    </xf>
    <xf numFmtId="0" fontId="6" fillId="0" borderId="2" applyAlignment="1" pivotButton="0" quotePrefix="0" xfId="0">
      <alignment horizontal="general" vertical="bottom"/>
    </xf>
    <xf numFmtId="0" fontId="5" fillId="4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Claude (revisión 07-10-2026)</author>
    <author>Claude (lectura completa 10-10-2026)</author>
  </authors>
  <commentList>
    <comment ref="E5" authorId="0" shapeId="0">
      <text>
        <t>SE MANTIENE CON NOTA. Leído completo. Ojo: (1) no compara contra sistemas de reglas; (2) el mejor modelo es XGBoost (supervisado), Isolation Forest tiene AUC 0,62; (3) usa el dataset IBM AML de Kaggle (sintético) aunque lo llama 'real' y dice que está balanceado; (4) accuracy 1,00 y AUC de XGBoost se reporta como 0,94 y 0,62 en distintas partes. Corregir lo que el Cap. 1 le atribuye ('anomalías superan a reglas simples'). Cuartil: pendiente.</t>
      </text>
    </comment>
    <comment ref="E6" authorId="0" shapeId="0">
      <text>
        <t>Leído completo. ASXAML: XGBoost + RFECV + Optuna para suprimir alertas falsas de un sistema de reglas. Datos reales de un banco (Egipto), 46 escenarios, 210 996 clientes con alertas, 6 meses. F-beta 0,86, recall 0,92, reduce 73 % de falsos positivos. Supervisado: requiere etiquetas del analista. Cuartil: pendiente.</t>
      </text>
    </comment>
    <comment ref="E7" authorId="1" shapeId="0">
      <text>
        <t>PDF no descargado (ScienceDirect bloquea la descarga automática): bajar desde la biblioteca UPC. DOI corregido (antes estaba el enlace PII). País según afiliación en Scopus: Strathmore University, Kenia.
PRE-EVALUACIÓN (solo resumen; PDF bloqueado aunque es de acceso abierto): FUERTE. Aporte propio (VAE + GNN + reglas) validado con 54 258 transacciones transfronterizas REALES de un banco de África Oriental + validación independiente en otra entidad de Kenia. No supervisado: One-Class SVM supera a Isolation Forest y LOF, precisión 99,63 % en el 5 % superior de alertas priorizadas (análogo directo al IE10 del proyecto). Cumple CI1, CI3, CI4, CI5; no cae en CE1-CE4. Falta: cuartil y confirmar en el texto completo.
LECTURA COMPLETA: CUMPLE (falta cuartil). 54 258 pagos SWIFT reales de un banco de África Oriental (9 meses de 2024). Variables útiles para Perumoney: días desde la operación anterior, antigüedad del cliente, desviación del monto respecto a su promedio, volatilidad, país de alto riesgo y bandera de fraccionamiento (&lt;10k). One-Class SVM entrenado SOLO con operaciones no marcadas (no requiere etiquetas): P@5% 99,26 % en test, AP 0,85, ROC 0,85; supera a Isolation Forest (P@5% 83,99 %). Ablación: sin embeddings GNN o VAE el AP cae. Validado operativamente en otra entidad de Kenia (1000 tps). OJO: la 'verdad' para evaluar son las propias reglas (proxy), no ROS confirmados; los autores lo reconocen. Responde P2, P3, P4, P5. Código y datos: github.com/cokungu1/TT</t>
      </text>
    </comment>
    <comment ref="E8" authorId="1" shapeId="0">
      <text>
        <t>PDF no disponible en acceso abierto (IEEE, de pago): bajar desde la biblioteca UPC. País pendiente: no figura la afiliación en la lista de candidatos.
LECTURA COMPLETA: CUMPLE (falta cuartil). Qilu University of Technology, China. MLaD2: red de relaciones entre cuentas por similitud + GNN + pre-entrenamiento autosupervisado contrastivo y ajuste fino con pocas etiquetas. Datos reales de una agencia policial china (caso de juego ilegal, 51 326 transacciones). Con solo 10 % de etiquetas supera a XGBoost (+2,7 % F1), GAT/EvolveGCN y a no supervisados (FlowScope, MonLAD: +24,8 % F1). Respalda lo que el Cap. 1 le atribuye (menor dependencia de etiquetas). Limitaciones (de los autores): un solo dataset pequeño y antiguo, poca interpretabilidad; requiere grafo de transferencias entre cuentas (Perumoney no lo tiene) y algunas etiquetas. Responde P3, P4, P5.</t>
      </text>
    </comment>
    <comment ref="E9" authorId="0" shapeId="0">
      <text>
        <t>Leído completo (versión aceptada del autor, repositorio NTNU). Datos reales de BN Bank (Noruega), PYMES, 500 767 observaciones, 2021-2023. XGBoost/LGBM/HistGB; AUC 0,94 combinando datos bancarios + crédito + contables (solo bancarios: 0,81-0,85). Clasificación de riesgo del CLIENTE. Limitación para Perumoney: usa datos contables y de crédito de empresas, que una casa de cambio no tiene de personas naturales. Cuartil: pendiente.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21" min="1" max="1"/>
    <col width="100" customWidth="1" style="21" min="2" max="2"/>
  </cols>
  <sheetData>
    <row r="1" ht="17.35" customHeight="1" s="22">
      <c r="A1" s="23" t="inlineStr">
        <is>
          <t>Cómo usar este archivo</t>
        </is>
      </c>
    </row>
    <row r="3" ht="15" customHeight="1" s="22">
      <c r="A3" s="24" t="n"/>
      <c r="B3" s="25" t="inlineStr">
        <is>
          <t>Este archivo es solo tu parte: 12 artículos. Carlos ya hizo las búsquedas y te pasó tu lista de candidatos.</t>
        </is>
      </c>
    </row>
    <row r="4" ht="15" customHeight="1" s="22">
      <c r="A4" s="24" t="n"/>
      <c r="B4" s="25" t="n"/>
    </row>
    <row r="5" ht="15" customHeight="1" s="22">
      <c r="A5" s="24" t="inlineStr">
        <is>
          <t>1</t>
        </is>
      </c>
      <c r="B5" s="25" t="inlineStr">
        <is>
          <t>Pestaña "1. Mis articulos": registras tus 12 artículos. Ya tienes 5 cargados para empezar.</t>
        </is>
      </c>
    </row>
    <row r="6" ht="15" customHeight="1" s="22">
      <c r="A6" s="24" t="inlineStr">
        <is>
          <t>2</t>
        </is>
      </c>
      <c r="B6" s="25" t="inlineStr">
        <is>
          <t>Pestaña "2. Mi avance": no se toca. Muestra cuánto llevas.</t>
        </is>
      </c>
    </row>
    <row r="7" ht="15" customHeight="1" s="22">
      <c r="A7" s="24" t="n"/>
      <c r="B7" s="25" t="inlineStr">
        <is>
          <t>Los filtros (título, resumen, cuartil...) se hacen en el otro archivo: Candidatos_Joaquin.xlsx.</t>
        </is>
      </c>
    </row>
    <row r="8" ht="15" customHeight="1" s="22">
      <c r="A8" s="24" t="n"/>
      <c r="B8" s="25" t="n"/>
    </row>
    <row r="9" ht="15" customHeight="1" s="22">
      <c r="A9" s="24" t="n"/>
      <c r="B9" s="26" t="inlineStr">
        <is>
          <t>COLORES</t>
        </is>
      </c>
    </row>
    <row r="10" ht="15" customHeight="1" s="22">
      <c r="A10" s="24" t="n"/>
      <c r="B10" s="27" t="inlineStr">
        <is>
          <t>Amarillo = lo llenas tú.</t>
        </is>
      </c>
    </row>
    <row r="11" ht="15" customHeight="1" s="22">
      <c r="A11" s="24" t="n"/>
      <c r="B11" s="28" t="inlineStr">
        <is>
          <t>Gris = lo completa Carlos después. No lo toques.</t>
        </is>
      </c>
    </row>
    <row r="12" ht="15" customHeight="1" s="22">
      <c r="A12" s="24" t="n"/>
      <c r="B12" s="29" t="inlineStr">
        <is>
          <t>Verde = se calcula solo.</t>
        </is>
      </c>
    </row>
    <row r="13" ht="15" customHeight="1" s="22">
      <c r="A13" s="24" t="n"/>
      <c r="B13" s="25" t="n"/>
    </row>
    <row r="14" ht="15" customHeight="1" s="22">
      <c r="A14" s="24" t="n"/>
      <c r="B14" s="25" t="inlineStr">
        <is>
          <t>AL TERMINAR: le pasas a Carlos este Excel, Candidatos_Joaquin.xlsx, tus 12 PDF y tus 12 capturas de Scimago.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V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21" min="1" max="1"/>
    <col width="16" customWidth="1" style="21" min="2" max="2"/>
    <col width="12" customWidth="1" style="21" min="3" max="3"/>
    <col width="18" customWidth="1" style="21" min="4" max="4"/>
    <col width="42" customWidth="1" style="21" min="5" max="5"/>
    <col width="24" customWidth="1" style="21" min="6" max="6"/>
    <col width="7" customWidth="1" style="21" min="7" max="7"/>
    <col width="24" customWidth="1" style="21" min="8" max="8"/>
    <col width="28" customWidth="1" style="21" min="9" max="9"/>
    <col width="12" customWidth="1" style="21" min="10" max="10"/>
    <col width="11" customWidth="1" style="21" min="11" max="13"/>
    <col width="24" customWidth="1" style="21" min="14" max="14"/>
    <col width="22" customWidth="1" style="21" min="15" max="17"/>
    <col width="20" customWidth="1" style="21" min="18" max="18"/>
    <col width="30" customWidth="1" style="21" min="19" max="20"/>
    <col width="9" customWidth="1" style="21" min="21" max="21"/>
    <col width="14" customWidth="1" style="21" min="22" max="22"/>
  </cols>
  <sheetData>
    <row r="1" ht="17.35" customHeight="1" s="22">
      <c r="A1" s="23" t="inlineStr">
        <is>
          <t>Tus 12 artículos. Solo llenas la parte amarilla.</t>
        </is>
      </c>
    </row>
    <row r="2" ht="15" customHeight="1" s="22">
      <c r="A2" s="30" t="inlineStr">
        <is>
          <t>LO LLENAS TÚ</t>
        </is>
      </c>
      <c r="B2" s="31" t="n"/>
      <c r="C2" s="31" t="n"/>
      <c r="D2" s="31" t="n"/>
      <c r="E2" s="31" t="n"/>
      <c r="F2" s="31" t="n"/>
      <c r="G2" s="31" t="n"/>
      <c r="H2" s="31" t="n"/>
      <c r="I2" s="31" t="n"/>
      <c r="J2" s="31" t="n"/>
      <c r="K2" s="31" t="n"/>
      <c r="L2" s="31" t="n"/>
      <c r="M2" s="32" t="inlineStr">
        <is>
          <t>LO COMPLETA CARLOS (no tocar)</t>
        </is>
      </c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</row>
    <row r="3" ht="36" customHeight="1" s="22">
      <c r="A3" s="33" t="inlineStr">
        <is>
          <t>N.°</t>
        </is>
      </c>
      <c r="B3" s="33" t="inlineStr">
        <is>
          <t>Quién lo encontró</t>
        </is>
      </c>
      <c r="C3" s="33" t="inlineStr">
        <is>
          <t>Responsable</t>
        </is>
      </c>
      <c r="D3" s="33" t="inlineStr">
        <is>
          <t>Contexto</t>
        </is>
      </c>
      <c r="E3" s="33" t="inlineStr">
        <is>
          <t>Título</t>
        </is>
      </c>
      <c r="F3" s="33" t="inlineStr">
        <is>
          <t>Autores</t>
        </is>
      </c>
      <c r="G3" s="33" t="inlineStr">
        <is>
          <t>Año</t>
        </is>
      </c>
      <c r="H3" s="33" t="inlineStr">
        <is>
          <t>Revista</t>
        </is>
      </c>
      <c r="I3" s="33" t="inlineStr">
        <is>
          <t>DOI o enlace</t>
        </is>
      </c>
      <c r="J3" s="33" t="inlineStr">
        <is>
          <t>País</t>
        </is>
      </c>
      <c r="K3" s="33" t="inlineStr">
        <is>
          <t>Cuartil Scimago</t>
        </is>
      </c>
      <c r="L3" s="33" t="inlineStr">
        <is>
          <t>¿PDF descargado?</t>
        </is>
      </c>
      <c r="M3" s="34" t="inlineStr">
        <is>
          <t>Preguntas que responde</t>
        </is>
      </c>
      <c r="N3" s="34" t="inlineStr">
        <is>
          <t>Técnica</t>
        </is>
      </c>
      <c r="O3" s="34" t="inlineStr">
        <is>
          <t>Variables</t>
        </is>
      </c>
      <c r="P3" s="34" t="inlineStr">
        <is>
          <t>Componentes</t>
        </is>
      </c>
      <c r="Q3" s="34" t="inlineStr">
        <is>
          <t>Cómo validó</t>
        </is>
      </c>
      <c r="R3" s="34" t="inlineStr">
        <is>
          <t>Datos usados</t>
        </is>
      </c>
      <c r="S3" s="34" t="inlineStr">
        <is>
          <t>Hallazgo principal</t>
        </is>
      </c>
      <c r="T3" s="34" t="inlineStr">
        <is>
          <t>Qué aporta a la tesis</t>
        </is>
      </c>
      <c r="U3" s="34" t="inlineStr">
        <is>
          <t>¿Aporta?</t>
        </is>
      </c>
      <c r="V3" s="34" t="inlineStr">
        <is>
          <t>Estado</t>
        </is>
      </c>
    </row>
    <row r="4" ht="19.5" customHeight="1" s="22">
      <c r="A4" s="35" t="inlineStr">
        <is>
          <t>ARTÍCULOS DE JOAQUÍN (12)</t>
        </is>
      </c>
    </row>
    <row r="5" ht="45.75" customHeight="1" s="22">
      <c r="A5" s="36" t="n">
        <v>1</v>
      </c>
      <c r="B5" s="37" t="inlineStr">
        <is>
          <t>Preseleccionado</t>
        </is>
      </c>
      <c r="C5" s="37" t="inlineStr">
        <is>
          <t>Joaquín</t>
        </is>
      </c>
      <c r="D5" s="37" t="inlineStr">
        <is>
          <t>Banco o entidad financiera</t>
        </is>
      </c>
      <c r="E5" s="37" t="inlineStr">
        <is>
          <t>Comparative analysis of machine learning algorithms for money laundering detection</t>
        </is>
      </c>
      <c r="F5" s="37" t="inlineStr">
        <is>
          <t>Ajagbe, Majola y Mudali</t>
        </is>
      </c>
      <c r="G5" s="38" t="n">
        <v>2025</v>
      </c>
      <c r="H5" s="37" t="inlineStr">
        <is>
          <t>Discover Artificial Intelligence</t>
        </is>
      </c>
      <c r="I5" s="37" t="inlineStr">
        <is>
          <t>https://doi.org/10.1007/s44163-025-00397-4</t>
        </is>
      </c>
      <c r="J5" s="37" t="inlineStr">
        <is>
          <t>Sudáfrica</t>
        </is>
      </c>
      <c r="K5" s="38" t="n"/>
      <c r="L5" s="38" t="inlineStr">
        <is>
          <t>Sí</t>
        </is>
      </c>
      <c r="M5" s="39" t="inlineStr">
        <is>
          <t>P3, P4</t>
        </is>
      </c>
      <c r="N5" s="40" t="inlineStr">
        <is>
          <t>Comparación de algoritmos, incluido Isolation Forest</t>
        </is>
      </c>
      <c r="O5" s="40" t="n"/>
      <c r="P5" s="40" t="n"/>
      <c r="Q5" s="40" t="n"/>
      <c r="R5" s="40" t="n"/>
      <c r="S5" s="40" t="inlineStr">
        <is>
          <t>Detección de anomalías supera a reglas simples</t>
        </is>
      </c>
      <c r="T5" s="40" t="n"/>
      <c r="U5" s="39" t="n"/>
      <c r="V5" s="39" t="inlineStr">
        <is>
          <t>Pendiente</t>
        </is>
      </c>
    </row>
    <row r="6" ht="45.75" customHeight="1" s="22">
      <c r="A6" s="36" t="n">
        <v>2</v>
      </c>
      <c r="B6" s="37" t="inlineStr">
        <is>
          <t>Preseleccionado</t>
        </is>
      </c>
      <c r="C6" s="37" t="inlineStr">
        <is>
          <t>Joaquín</t>
        </is>
      </c>
      <c r="D6" s="37" t="inlineStr">
        <is>
          <t>Banco o entidad financiera</t>
        </is>
      </c>
      <c r="E6" s="37" t="inlineStr">
        <is>
          <t>Automatic suppression of false positive alerts in anti-money laundering systems using machine learning</t>
        </is>
      </c>
      <c r="F6" s="37" t="inlineStr">
        <is>
          <t>Bakry, Alsharkawy, Farag y Raslan</t>
        </is>
      </c>
      <c r="G6" s="38" t="n">
        <v>2024</v>
      </c>
      <c r="H6" s="37" t="inlineStr">
        <is>
          <t>The Journal of Supercomputing</t>
        </is>
      </c>
      <c r="I6" s="37" t="inlineStr">
        <is>
          <t>https://doi.org/10.1007/s11227-023-05708-z</t>
        </is>
      </c>
      <c r="J6" s="37" t="inlineStr">
        <is>
          <t>Egipto</t>
        </is>
      </c>
      <c r="K6" s="38" t="n"/>
      <c r="L6" s="38" t="inlineStr">
        <is>
          <t>Sí</t>
        </is>
      </c>
      <c r="M6" s="39" t="inlineStr">
        <is>
          <t>P1, P5</t>
        </is>
      </c>
      <c r="N6" s="40" t="inlineStr">
        <is>
          <t>ML para suprimir alertas falsas</t>
        </is>
      </c>
      <c r="O6" s="40" t="n"/>
      <c r="P6" s="40" t="n"/>
      <c r="Q6" s="40" t="n"/>
      <c r="R6" s="40" t="n"/>
      <c r="S6" s="40" t="n"/>
      <c r="T6" s="40" t="n"/>
      <c r="U6" s="39" t="n"/>
      <c r="V6" s="39" t="inlineStr">
        <is>
          <t>Pendiente</t>
        </is>
      </c>
    </row>
    <row r="7" ht="45.75" customHeight="1" s="22">
      <c r="A7" s="36" t="n">
        <v>3</v>
      </c>
      <c r="B7" s="37" t="inlineStr">
        <is>
          <t>Preseleccionado</t>
        </is>
      </c>
      <c r="C7" s="37" t="inlineStr">
        <is>
          <t>Joaquín</t>
        </is>
      </c>
      <c r="D7" s="37" t="inlineStr">
        <is>
          <t>Banco o entidad financiera</t>
        </is>
      </c>
      <c r="E7" s="37" t="inlineStr">
        <is>
          <t>Hybrid deep learning for anti-money laundering: Unsupervised detection of emerging schemes via feature fusion and explainable artificial intelligence</t>
        </is>
      </c>
      <c r="F7" s="37" t="inlineStr">
        <is>
          <t>Kungu, Senagi y Omondi</t>
        </is>
      </c>
      <c r="G7" s="38" t="n">
        <v>2026</v>
      </c>
      <c r="H7" s="37" t="inlineStr">
        <is>
          <t>Machine Learning with Applications</t>
        </is>
      </c>
      <c r="I7" s="37" t="inlineStr">
        <is>
          <t>https://doi.org/10.1016/j.mlwa.2026.100856</t>
        </is>
      </c>
      <c r="J7" s="37" t="inlineStr">
        <is>
          <t>Kenia</t>
        </is>
      </c>
      <c r="K7" s="38" t="n"/>
      <c r="L7" s="38" t="inlineStr">
        <is>
          <t>Sí</t>
        </is>
      </c>
      <c r="M7" s="39" t="inlineStr">
        <is>
          <t>P2, P4, P5</t>
        </is>
      </c>
      <c r="N7" s="40" t="inlineStr">
        <is>
          <t>One-Class SVM frente a Isolation Forest y LOF</t>
        </is>
      </c>
      <c r="O7" s="40" t="n"/>
      <c r="P7" s="40" t="n"/>
      <c r="Q7" s="40" t="n"/>
      <c r="R7" s="40" t="n"/>
      <c r="S7" s="40" t="inlineStr">
        <is>
          <t>Datos reales de un banco; mejor precisión en el 5 % superior de alertas</t>
        </is>
      </c>
      <c r="T7" s="40" t="n"/>
      <c r="U7" s="39" t="n"/>
      <c r="V7" s="39" t="inlineStr">
        <is>
          <t>Pendiente</t>
        </is>
      </c>
    </row>
    <row r="8" ht="45.75" customHeight="1" s="22">
      <c r="A8" s="36" t="n">
        <v>4</v>
      </c>
      <c r="B8" s="37" t="inlineStr">
        <is>
          <t>Preseleccionado</t>
        </is>
      </c>
      <c r="C8" s="37" t="inlineStr">
        <is>
          <t>Joaquín</t>
        </is>
      </c>
      <c r="D8" s="37" t="inlineStr">
        <is>
          <t>Banco o entidad financiera</t>
        </is>
      </c>
      <c r="E8" s="37" t="inlineStr">
        <is>
          <t>MLaD2: A semi-supervised money laundering detection framework based on decoupling training</t>
        </is>
      </c>
      <c r="F8" s="37" t="inlineStr">
        <is>
          <t>Luo, Han, Zuo, Wu y Liu</t>
        </is>
      </c>
      <c r="G8" s="38" t="n">
        <v>2024</v>
      </c>
      <c r="H8" s="37" t="inlineStr">
        <is>
          <t>IEEE Transactions on Information Forensics and Security</t>
        </is>
      </c>
      <c r="I8" s="37" t="inlineStr">
        <is>
          <t>https://doi.org/10.1109/TIFS.2024.3380262</t>
        </is>
      </c>
      <c r="J8" s="37" t="inlineStr">
        <is>
          <t>China</t>
        </is>
      </c>
      <c r="K8" s="38" t="n"/>
      <c r="L8" s="38" t="inlineStr">
        <is>
          <t>Sí</t>
        </is>
      </c>
      <c r="M8" s="39" t="inlineStr">
        <is>
          <t>P3, P5</t>
        </is>
      </c>
      <c r="N8" s="40" t="inlineStr">
        <is>
          <t>Aprendizaje semisupervisado con pocas etiquetas</t>
        </is>
      </c>
      <c r="O8" s="40" t="n"/>
      <c r="P8" s="40" t="n"/>
      <c r="Q8" s="40" t="n"/>
      <c r="R8" s="40" t="n"/>
      <c r="S8" s="40" t="n"/>
      <c r="T8" s="40" t="n"/>
      <c r="U8" s="39" t="n"/>
      <c r="V8" s="39" t="inlineStr">
        <is>
          <t>Pendiente</t>
        </is>
      </c>
    </row>
    <row r="9" ht="45.75" customHeight="1" s="22">
      <c r="A9" s="36" t="n">
        <v>5</v>
      </c>
      <c r="B9" s="37" t="inlineStr">
        <is>
          <t>Preseleccionado</t>
        </is>
      </c>
      <c r="C9" s="37" t="inlineStr">
        <is>
          <t>Joaquín</t>
        </is>
      </c>
      <c r="D9" s="37" t="inlineStr">
        <is>
          <t>Banco o entidad financiera</t>
        </is>
      </c>
      <c r="E9" s="37" t="inlineStr">
        <is>
          <t>Improving client risk classification with machine learning to increase anti-money laundering detection efficiency</t>
        </is>
      </c>
      <c r="F9" s="37" t="inlineStr">
        <is>
          <t>Reite, Karlsen y Westgaard</t>
        </is>
      </c>
      <c r="G9" s="38" t="n">
        <v>2025</v>
      </c>
      <c r="H9" s="37" t="inlineStr">
        <is>
          <t>Journal of Money Laundering Control</t>
        </is>
      </c>
      <c r="I9" s="37" t="inlineStr">
        <is>
          <t>https://doi.org/10.1108/JMLC-03-2024-0040</t>
        </is>
      </c>
      <c r="J9" s="37" t="inlineStr">
        <is>
          <t>Noruega</t>
        </is>
      </c>
      <c r="K9" s="38" t="n"/>
      <c r="L9" s="38" t="inlineStr">
        <is>
          <t>Sí</t>
        </is>
      </c>
      <c r="M9" s="39" t="inlineStr">
        <is>
          <t>P3, P4</t>
        </is>
      </c>
      <c r="N9" s="40" t="inlineStr">
        <is>
          <t>Clasificación de riesgo del cliente con XGBoost</t>
        </is>
      </c>
      <c r="O9" s="40" t="n"/>
      <c r="P9" s="40" t="n"/>
      <c r="Q9" s="40" t="n"/>
      <c r="R9" s="40" t="n"/>
      <c r="S9" s="40" t="inlineStr">
        <is>
          <t>Datos contables mejoran la predicción</t>
        </is>
      </c>
      <c r="T9" s="40" t="n"/>
      <c r="U9" s="39" t="n"/>
      <c r="V9" s="39" t="inlineStr">
        <is>
          <t>Pendiente</t>
        </is>
      </c>
    </row>
    <row r="10" ht="45.75" customHeight="1" s="22">
      <c r="A10" s="36" t="n">
        <v>6</v>
      </c>
      <c r="B10" s="37" t="inlineStr">
        <is>
          <t>Búsqueda propia</t>
        </is>
      </c>
      <c r="C10" s="37" t="inlineStr">
        <is>
          <t>Joaquín</t>
        </is>
      </c>
      <c r="D10" s="37" t="n"/>
      <c r="E10" s="37" t="n"/>
      <c r="F10" s="37" t="n"/>
      <c r="G10" s="38" t="n"/>
      <c r="H10" s="37" t="n"/>
      <c r="I10" s="37" t="n"/>
      <c r="J10" s="37" t="n"/>
      <c r="K10" s="38" t="n"/>
      <c r="L10" s="38" t="inlineStr">
        <is>
          <t>No</t>
        </is>
      </c>
      <c r="M10" s="39" t="n"/>
      <c r="N10" s="40" t="n"/>
      <c r="O10" s="40" t="n"/>
      <c r="P10" s="40" t="n"/>
      <c r="Q10" s="40" t="n"/>
      <c r="R10" s="40" t="n"/>
      <c r="S10" s="40" t="n"/>
      <c r="T10" s="40" t="n"/>
      <c r="U10" s="39" t="n"/>
      <c r="V10" s="39" t="inlineStr">
        <is>
          <t>Pendiente</t>
        </is>
      </c>
    </row>
    <row r="11" ht="45.75" customHeight="1" s="22">
      <c r="A11" s="36" t="n">
        <v>7</v>
      </c>
      <c r="B11" s="37" t="inlineStr">
        <is>
          <t>Búsqueda propia</t>
        </is>
      </c>
      <c r="C11" s="37" t="inlineStr">
        <is>
          <t>Joaquín</t>
        </is>
      </c>
      <c r="D11" s="37" t="n"/>
      <c r="E11" s="37" t="n"/>
      <c r="F11" s="37" t="n"/>
      <c r="G11" s="38" t="n"/>
      <c r="H11" s="37" t="n"/>
      <c r="I11" s="37" t="n"/>
      <c r="J11" s="37" t="n"/>
      <c r="K11" s="38" t="n"/>
      <c r="L11" s="38" t="inlineStr">
        <is>
          <t>No</t>
        </is>
      </c>
      <c r="M11" s="39" t="n"/>
      <c r="N11" s="40" t="n"/>
      <c r="O11" s="40" t="n"/>
      <c r="P11" s="40" t="n"/>
      <c r="Q11" s="40" t="n"/>
      <c r="R11" s="40" t="n"/>
      <c r="S11" s="40" t="n"/>
      <c r="T11" s="40" t="n"/>
      <c r="U11" s="39" t="n"/>
      <c r="V11" s="39" t="inlineStr">
        <is>
          <t>Pendiente</t>
        </is>
      </c>
    </row>
    <row r="12" ht="45.75" customHeight="1" s="22">
      <c r="A12" s="36" t="n">
        <v>8</v>
      </c>
      <c r="B12" s="37" t="inlineStr">
        <is>
          <t>Búsqueda propia</t>
        </is>
      </c>
      <c r="C12" s="37" t="inlineStr">
        <is>
          <t>Joaquín</t>
        </is>
      </c>
      <c r="D12" s="37" t="n"/>
      <c r="E12" s="37" t="n"/>
      <c r="F12" s="37" t="n"/>
      <c r="G12" s="38" t="n"/>
      <c r="H12" s="37" t="n"/>
      <c r="I12" s="37" t="n"/>
      <c r="J12" s="37" t="n"/>
      <c r="K12" s="38" t="n"/>
      <c r="L12" s="38" t="inlineStr">
        <is>
          <t>No</t>
        </is>
      </c>
      <c r="M12" s="39" t="n"/>
      <c r="N12" s="40" t="n"/>
      <c r="O12" s="40" t="n"/>
      <c r="P12" s="40" t="n"/>
      <c r="Q12" s="40" t="n"/>
      <c r="R12" s="40" t="n"/>
      <c r="S12" s="40" t="n"/>
      <c r="T12" s="40" t="n"/>
      <c r="U12" s="39" t="n"/>
      <c r="V12" s="39" t="inlineStr">
        <is>
          <t>Pendiente</t>
        </is>
      </c>
    </row>
    <row r="13" ht="45.75" customHeight="1" s="22">
      <c r="A13" s="36" t="n">
        <v>9</v>
      </c>
      <c r="B13" s="37" t="inlineStr">
        <is>
          <t>Búsqueda propia</t>
        </is>
      </c>
      <c r="C13" s="37" t="inlineStr">
        <is>
          <t>Joaquín</t>
        </is>
      </c>
      <c r="D13" s="37" t="n"/>
      <c r="E13" s="37" t="n"/>
      <c r="F13" s="37" t="n"/>
      <c r="G13" s="38" t="n"/>
      <c r="H13" s="37" t="n"/>
      <c r="I13" s="37" t="n"/>
      <c r="J13" s="37" t="n"/>
      <c r="K13" s="38" t="n"/>
      <c r="L13" s="38" t="inlineStr">
        <is>
          <t>No</t>
        </is>
      </c>
      <c r="M13" s="39" t="n"/>
      <c r="N13" s="40" t="n"/>
      <c r="O13" s="40" t="n"/>
      <c r="P13" s="40" t="n"/>
      <c r="Q13" s="40" t="n"/>
      <c r="R13" s="40" t="n"/>
      <c r="S13" s="40" t="n"/>
      <c r="T13" s="40" t="n"/>
      <c r="U13" s="39" t="n"/>
      <c r="V13" s="39" t="inlineStr">
        <is>
          <t>Pendiente</t>
        </is>
      </c>
    </row>
    <row r="14" ht="45.75" customHeight="1" s="22">
      <c r="A14" s="36" t="n">
        <v>10</v>
      </c>
      <c r="B14" s="37" t="inlineStr">
        <is>
          <t>Búsqueda propia</t>
        </is>
      </c>
      <c r="C14" s="37" t="inlineStr">
        <is>
          <t>Joaquín</t>
        </is>
      </c>
      <c r="D14" s="37" t="n"/>
      <c r="E14" s="37" t="n"/>
      <c r="F14" s="37" t="n"/>
      <c r="G14" s="38" t="n"/>
      <c r="H14" s="37" t="n"/>
      <c r="I14" s="37" t="n"/>
      <c r="J14" s="37" t="n"/>
      <c r="K14" s="38" t="n"/>
      <c r="L14" s="38" t="inlineStr">
        <is>
          <t>No</t>
        </is>
      </c>
      <c r="M14" s="39" t="n"/>
      <c r="N14" s="40" t="n"/>
      <c r="O14" s="40" t="n"/>
      <c r="P14" s="40" t="n"/>
      <c r="Q14" s="40" t="n"/>
      <c r="R14" s="40" t="n"/>
      <c r="S14" s="40" t="n"/>
      <c r="T14" s="40" t="n"/>
      <c r="U14" s="39" t="n"/>
      <c r="V14" s="39" t="inlineStr">
        <is>
          <t>Pendiente</t>
        </is>
      </c>
    </row>
    <row r="15" ht="45.75" customHeight="1" s="22">
      <c r="A15" s="36" t="n">
        <v>11</v>
      </c>
      <c r="B15" s="37" t="inlineStr">
        <is>
          <t>Búsqueda propia</t>
        </is>
      </c>
      <c r="C15" s="37" t="inlineStr">
        <is>
          <t>Joaquín</t>
        </is>
      </c>
      <c r="D15" s="37" t="n"/>
      <c r="E15" s="37" t="n"/>
      <c r="F15" s="37" t="n"/>
      <c r="G15" s="38" t="n"/>
      <c r="H15" s="37" t="n"/>
      <c r="I15" s="37" t="n"/>
      <c r="J15" s="37" t="n"/>
      <c r="K15" s="38" t="n"/>
      <c r="L15" s="38" t="inlineStr">
        <is>
          <t>No</t>
        </is>
      </c>
      <c r="M15" s="39" t="n"/>
      <c r="N15" s="40" t="n"/>
      <c r="O15" s="40" t="n"/>
      <c r="P15" s="40" t="n"/>
      <c r="Q15" s="40" t="n"/>
      <c r="R15" s="40" t="n"/>
      <c r="S15" s="40" t="n"/>
      <c r="T15" s="40" t="n"/>
      <c r="U15" s="39" t="n"/>
      <c r="V15" s="39" t="inlineStr">
        <is>
          <t>Pendiente</t>
        </is>
      </c>
    </row>
    <row r="16" ht="45.75" customHeight="1" s="22">
      <c r="A16" s="36" t="n">
        <v>12</v>
      </c>
      <c r="B16" s="37" t="inlineStr">
        <is>
          <t>Búsqueda propia</t>
        </is>
      </c>
      <c r="C16" s="37" t="inlineStr">
        <is>
          <t>Joaquín</t>
        </is>
      </c>
      <c r="D16" s="37" t="n"/>
      <c r="E16" s="37" t="n"/>
      <c r="F16" s="37" t="n"/>
      <c r="G16" s="38" t="n"/>
      <c r="H16" s="37" t="n"/>
      <c r="I16" s="37" t="n"/>
      <c r="J16" s="37" t="n"/>
      <c r="K16" s="38" t="n"/>
      <c r="L16" s="38" t="inlineStr">
        <is>
          <t>No</t>
        </is>
      </c>
      <c r="M16" s="39" t="n"/>
      <c r="N16" s="40" t="n"/>
      <c r="O16" s="40" t="n"/>
      <c r="P16" s="40" t="n"/>
      <c r="Q16" s="40" t="n"/>
      <c r="R16" s="40" t="n"/>
      <c r="S16" s="40" t="n"/>
      <c r="T16" s="40" t="n"/>
      <c r="U16" s="39" t="n"/>
      <c r="V16" s="39" t="inlineStr">
        <is>
          <t>Pendiente</t>
        </is>
      </c>
    </row>
  </sheetData>
  <mergeCells count="3">
    <mergeCell ref="A2:L2"/>
    <mergeCell ref="A4:V4"/>
    <mergeCell ref="M2:V2"/>
  </mergeCells>
  <dataValidations count="7">
    <dataValidation sqref="B5:B16" showDropDown="0" showInputMessage="0" showErrorMessage="0" allowBlank="1" type="list" errorStyle="stop" operator="between">
      <formula1>"Preseleccionado,Búsqueda propia"</formula1>
      <formula2>0</formula2>
    </dataValidation>
    <dataValidation sqref="C5:C16" showDropDown="0" showInputMessage="0" showErrorMessage="0" allowBlank="1" type="list" errorStyle="stop" operator="between">
      <formula1>"Carlos,Joaquín"</formula1>
      <formula2>0</formula2>
    </dataValidation>
    <dataValidation sqref="D5:D16" showDropDown="0" showInputMessage="0" showErrorMessage="0" allowBlank="1" type="list" errorStyle="stop" operator="between">
      <formula1>"Casa de cambio,Banco o entidad financiera,Otro"</formula1>
      <formula2>0</formula2>
    </dataValidation>
    <dataValidation sqref="K5:K16" showDropDown="0" showInputMessage="0" showErrorMessage="0" allowBlank="1" type="list" errorStyle="stop" operator="between">
      <formula1>"Q1,Q2,Q3,Q4,No aparece"</formula1>
      <formula2>0</formula2>
    </dataValidation>
    <dataValidation sqref="L5:L16" showDropDown="0" showInputMessage="0" showErrorMessage="0" allowBlank="1" type="list" errorStyle="stop" operator="between">
      <formula1>"Sí,No"</formula1>
      <formula2>0</formula2>
    </dataValidation>
    <dataValidation sqref="U5:U16" showDropDown="0" showInputMessage="0" showErrorMessage="0" allowBlank="1" type="list" errorStyle="stop" operator="between">
      <formula1>"Sí,No"</formula1>
      <formula2>0</formula2>
    </dataValidation>
    <dataValidation sqref="V5:V16" showDropDown="0" showInputMessage="0" showErrorMessage="0" allowBlank="1" type="list" errorStyle="stop" operator="between">
      <formula1>"Pendiente,Informe listo,Descartado"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21" min="1" max="1"/>
    <col width="14" customWidth="1" style="21" min="2" max="2"/>
  </cols>
  <sheetData>
    <row r="1" ht="17.35" customHeight="1" s="22">
      <c r="A1" s="23" t="inlineStr">
        <is>
          <t>Resumen (se calcula solo, no tocar)</t>
        </is>
      </c>
    </row>
    <row r="2" ht="15" customHeight="1" s="22">
      <c r="A2" s="24" t="inlineStr">
        <is>
          <t>AVANCE</t>
        </is>
      </c>
    </row>
    <row r="3" ht="15" customHeight="1" s="22">
      <c r="A3" s="41" t="inlineStr">
        <is>
          <t>Artículos registrados (meta 12)</t>
        </is>
      </c>
      <c r="B3" s="42">
        <f>COUNTA('1. Mis articulos'!E5:E16)</f>
        <v/>
      </c>
    </row>
    <row r="4" ht="15" customHeight="1" s="22">
      <c r="A4" s="41" t="inlineStr">
        <is>
          <t>Con PDF descargado</t>
        </is>
      </c>
      <c r="B4" s="42">
        <f>COUNTIF('1. Mis articulos'!L5:L16,"Sí")</f>
        <v/>
      </c>
    </row>
    <row r="5" ht="15" customHeight="1" s="22">
      <c r="A5" s="41" t="inlineStr">
        <is>
          <t>Con cuartil Q1 o Q2 verificado</t>
        </is>
      </c>
      <c r="B5" s="42">
        <f>COUNTIF('1. Mis articulos'!K5:K16,"Q1")+COUNTIF('1. Mis articulos'!K5:K16,"Q2")</f>
        <v/>
      </c>
    </row>
    <row r="6" ht="15" customHeight="1" s="22">
      <c r="A6" s="41" t="inlineStr">
        <is>
          <t>Con informe listo</t>
        </is>
      </c>
      <c r="B6" s="42">
        <f>COUNTIF('1. Mis articulos'!V5:V16,"Informe listo")</f>
        <v/>
      </c>
    </row>
    <row r="7" ht="15" customHeight="1" s="22">
      <c r="A7" s="43" t="n"/>
    </row>
    <row r="8" ht="15" customHeight="1" s="22">
      <c r="A8" s="24" t="inlineStr">
        <is>
          <t>POR CONTEXTO</t>
        </is>
      </c>
    </row>
    <row r="9" ht="15" customHeight="1" s="22">
      <c r="A9" s="41" t="inlineStr">
        <is>
          <t>Casas de cambio</t>
        </is>
      </c>
      <c r="B9" s="42">
        <f>COUNTIF('1. Mis articulos'!D5:D16,"Casa de cambio")</f>
        <v/>
      </c>
    </row>
    <row r="10" ht="15" customHeight="1" s="22">
      <c r="A10" s="41" t="inlineStr">
        <is>
          <t>Bancos o entidades financieras</t>
        </is>
      </c>
      <c r="B10" s="42">
        <f>COUNTIF('1. Mis articulos'!D5:D16,"Banco o entidad financiera")</f>
        <v/>
      </c>
    </row>
    <row r="11" ht="15" customHeight="1" s="22">
      <c r="A11" s="43" t="n"/>
    </row>
    <row r="12" ht="15" customHeight="1" s="22">
      <c r="A12" s="24" t="inlineStr">
        <is>
          <t>POR PREGUNTA DE INVESTIGACIÓN</t>
        </is>
      </c>
    </row>
    <row r="13" ht="15" customHeight="1" s="22">
      <c r="A13" s="41" t="inlineStr">
        <is>
          <t>P1 Qué soluciones existen</t>
        </is>
      </c>
      <c r="B13" s="42">
        <f>COUNTIF('1. Mis articulos'!M5:M16,"*P1*")</f>
        <v/>
      </c>
    </row>
    <row r="14" ht="15" customHeight="1" s="22">
      <c r="A14" s="41" t="inlineStr">
        <is>
          <t>P2 De qué partes están hechas</t>
        </is>
      </c>
      <c r="B14" s="42">
        <f>COUNTIF('1. Mis articulos'!M5:M16,"*P2*")</f>
        <v/>
      </c>
    </row>
    <row r="15" ht="15" customHeight="1" s="22">
      <c r="A15" s="41" t="inlineStr">
        <is>
          <t>P3 Con qué técnicas</t>
        </is>
      </c>
      <c r="B15" s="42">
        <f>COUNTIF('1. Mis articulos'!M5:M16,"*P3*")</f>
        <v/>
      </c>
    </row>
    <row r="16" ht="15" customHeight="1" s="22">
      <c r="A16" s="41" t="inlineStr">
        <is>
          <t>P4 Cuál técnica funciona mejor</t>
        </is>
      </c>
      <c r="B16" s="42">
        <f>COUNTIF('1. Mis articulos'!M5:M16,"*P4*")</f>
        <v/>
      </c>
    </row>
    <row r="17" ht="15" customHeight="1" s="22">
      <c r="A17" s="41" t="inlineStr">
        <is>
          <t>P5 Cómo se valida</t>
        </is>
      </c>
      <c r="B17" s="42">
        <f>COUNTIF('1. Mis articulos'!M5:M16,"*P5*")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2026-10-02T23:20:40Z</dcterms:created>
  <dcterms:modified xmlns:dcterms="http://purl.org/dc/terms/" xmlns:xsi="http://www.w3.org/2001/XMLSchema-instance" xsi:type="dcterms:W3CDTF">2026-10-10T05:38:05Z</dcterms:modified>
  <cp:revision>0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0x01010079A9A32256AB0543B863AC6C35F3D1B6</vt:lpwstr>
  </property>
</Properties>
</file>