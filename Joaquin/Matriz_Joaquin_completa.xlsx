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1. Mis articulos" sheetId="2" state="visible" r:id="rId2"/>
    <sheet xmlns:r="http://schemas.openxmlformats.org/officeDocument/2006/relationships" name="2. Mi avance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3864"/>
      <sz val="14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Arial"/>
      <charset val="1"/>
      <family val="0"/>
      <b val="1"/>
      <sz val="11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1F3864"/>
      <sz val="10"/>
    </font>
  </fonts>
  <fills count="10">
    <fill>
      <patternFill/>
    </fill>
    <fill>
      <patternFill patternType="gray125"/>
    </fill>
    <fill>
      <patternFill patternType="solid">
        <fgColor rgb="FFFFF2CC"/>
        <bgColor rgb="FFEDEDED"/>
      </patternFill>
    </fill>
    <fill>
      <patternFill patternType="solid">
        <fgColor rgb="FFEDEDED"/>
        <bgColor rgb="FFE2EFDA"/>
      </patternFill>
    </fill>
    <fill>
      <patternFill patternType="solid">
        <fgColor rgb="FFE2EFDA"/>
        <bgColor rgb="FFEDEDED"/>
      </patternFill>
    </fill>
    <fill>
      <patternFill patternType="solid">
        <fgColor rgb="FFFFD966"/>
        <bgColor rgb="FFFFFF99"/>
      </patternFill>
    </fill>
    <fill>
      <patternFill patternType="solid">
        <fgColor rgb="FFBFBFBF"/>
        <bgColor rgb="FFCCCCFF"/>
      </patternFill>
    </fill>
    <fill>
      <patternFill patternType="solid">
        <fgColor rgb="FF1F3864"/>
        <bgColor rgb="FF333333"/>
      </patternFill>
    </fill>
    <fill>
      <patternFill patternType="solid">
        <fgColor rgb="FF7F7F7F"/>
        <bgColor rgb="FF969696"/>
      </patternFill>
    </fill>
    <fill>
      <patternFill patternType="solid">
        <fgColor rgb="FFDDEBF7"/>
        <bgColor rgb="FFEDEDED"/>
      </patternFill>
    </fill>
  </fills>
  <borders count="5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4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6" fillId="2" borderId="0" applyAlignment="1" pivotButton="0" quotePrefix="0" xfId="0">
      <alignment horizontal="general" vertical="top" wrapText="1"/>
    </xf>
    <xf numFmtId="0" fontId="6" fillId="3" borderId="0" applyAlignment="1" pivotButton="0" quotePrefix="0" xfId="0">
      <alignment horizontal="general" vertical="top" wrapText="1"/>
    </xf>
    <xf numFmtId="0" fontId="6" fillId="4" borderId="0" applyAlignment="1" pivotButton="0" quotePrefix="0" xfId="0">
      <alignment horizontal="general" vertical="top" wrapText="1"/>
    </xf>
    <xf numFmtId="0" fontId="7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7" borderId="2" applyAlignment="1" pivotButton="0" quotePrefix="0" xfId="0">
      <alignment horizontal="center" vertical="center" wrapText="1"/>
    </xf>
    <xf numFmtId="0" fontId="8" fillId="8" borderId="2" applyAlignment="1" pivotButton="0" quotePrefix="0" xfId="0">
      <alignment horizontal="center" vertical="center" wrapText="1"/>
    </xf>
    <xf numFmtId="0" fontId="9" fillId="9" borderId="0" applyAlignment="1" pivotButton="0" quotePrefix="0" xfId="0">
      <alignment horizontal="general" vertical="center"/>
    </xf>
    <xf numFmtId="0" fontId="6" fillId="0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general" vertical="top" wrapText="1"/>
    </xf>
    <xf numFmtId="0" fontId="6" fillId="2" borderId="2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general" vertical="top" wrapText="1"/>
    </xf>
    <xf numFmtId="0" fontId="6" fillId="0" borderId="2" applyAlignment="1" pivotButton="0" quotePrefix="0" xfId="0">
      <alignment horizontal="general" vertical="bottom"/>
    </xf>
    <xf numFmtId="0" fontId="5" fillId="4" borderId="2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6" fillId="2" borderId="0" applyAlignment="1" pivotButton="0" quotePrefix="0" xfId="0">
      <alignment horizontal="general" vertical="top" wrapText="1"/>
    </xf>
    <xf numFmtId="0" fontId="6" fillId="3" borderId="0" applyAlignment="1" pivotButton="0" quotePrefix="0" xfId="0">
      <alignment horizontal="general" vertical="top" wrapText="1"/>
    </xf>
    <xf numFmtId="0" fontId="6" fillId="4" borderId="0" applyAlignment="1" pivotButton="0" quotePrefix="0" xfId="0">
      <alignment horizontal="general" vertical="top" wrapText="1"/>
    </xf>
    <xf numFmtId="0" fontId="7" fillId="5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7" fillId="6" borderId="1" applyAlignment="1" pivotButton="0" quotePrefix="0" xfId="0">
      <alignment horizontal="center" vertical="center" wrapText="1"/>
    </xf>
    <xf numFmtId="0" fontId="8" fillId="7" borderId="2" applyAlignment="1" pivotButton="0" quotePrefix="0" xfId="0">
      <alignment horizontal="center" vertical="center" wrapText="1"/>
    </xf>
    <xf numFmtId="0" fontId="8" fillId="8" borderId="2" applyAlignment="1" pivotButton="0" quotePrefix="0" xfId="0">
      <alignment horizontal="center" vertical="center" wrapText="1"/>
    </xf>
    <xf numFmtId="0" fontId="9" fillId="9" borderId="0" applyAlignment="1" pivotButton="0" quotePrefix="0" xfId="0">
      <alignment horizontal="general" vertical="center"/>
    </xf>
    <xf numFmtId="0" fontId="6" fillId="0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general" vertical="top" wrapText="1"/>
    </xf>
    <xf numFmtId="0" fontId="6" fillId="2" borderId="2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general" vertical="top" wrapText="1"/>
    </xf>
    <xf numFmtId="0" fontId="6" fillId="0" borderId="2" applyAlignment="1" pivotButton="0" quotePrefix="0" xfId="0">
      <alignment horizontal="general" vertical="bottom"/>
    </xf>
    <xf numFmtId="0" fontId="5" fillId="4" borderId="2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E2EFDA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Claude (revisión 07-10-2026)</author>
    <author>Claude (10-10-2026)</author>
    <author>Claude (lectura completa 10-10-2026)</author>
    <author>Claude (11-10-2026)</author>
    <author>Claude (12-10-2026)</author>
  </authors>
  <commentList>
    <comment ref="E5" authorId="0" shapeId="0">
      <text>
        <t>SE MANTIENE CON NOTA. Leído completo. Ojo: (1) no compara contra sistemas de reglas; (2) el mejor modelo es XGBoost (supervisado), Isolation Forest tiene AUC 0,62; (3) usa el dataset IBM AML de Kaggle (sintético) aunque lo llama 'real' y dice que está balanceado; (4) accuracy 1,00 y AUC de XGBoost se reporta como 0,94 y 0,62 en distintas partes. Corregir lo que el Cap. 1 le atribuye ('anomalías superan a reglas simples'). Cuartil: pendiente.</t>
      </text>
    </comment>
    <comment ref="K5" authorId="1" shapeId="0">
      <text>
        <t>Discover Artificial Intelligence 2025: Q1 en sus 4 categorías (Artificial Intelligence, Information Systems...). Captura en Capturas_Scimago/.</t>
      </text>
    </comment>
    <comment ref="E6" authorId="0" shapeId="0">
      <text>
        <t>Leído completo. ASXAML: XGBoost + RFECV + Optuna para suprimir alertas falsas de un sistema de reglas. Datos reales de un banco (Egipto), 46 escenarios, 210 996 clientes con alertas, 6 meses. F-beta 0,86, recall 0,92, reduce 73 % de falsos positivos. Supervisado: requiere etiquetas del analista. Cuartil: pendiente.</t>
      </text>
    </comment>
    <comment ref="K6" authorId="1" shapeId="0">
      <text>
        <t>The Journal of Supercomputing 2023-2024: Q2 en Information Systems, Software, Hardware and Architecture y Theoretical CS. Captura en Capturas_Scimago/.</t>
      </text>
    </comment>
    <comment ref="E7" authorId="2" shapeId="0">
      <text>
        <t>PDF no descargado (ScienceDirect bloquea la descarga automática): bajar desde la biblioteca UPC. DOI corregido (antes estaba el enlace PII). País según afiliación en Scopus: Strathmore University, Kenia.
PRE-EVALUACIÓN (solo resumen; PDF bloqueado aunque es de acceso abierto): FUERTE. Aporte propio (VAE + GNN + reglas) validado con 54 258 transacciones transfronterizas REALES de un banco de África Oriental + validación independiente en otra entidad de Kenia. No supervisado: One-Class SVM supera a Isolation Forest y LOF, precisión 99,63 % en el 5 % superior de alertas priorizadas (análogo directo al IE10 del proyecto). Cumple CI1, CI3, CI4, CI5; no cae en CE1-CE4. Falta: cuartil y confirmar en el texto completo.
LECTURA COMPLETA: CUMPLE (falta cuartil). 54 258 pagos SWIFT reales de un banco de África Oriental (9 meses de 2024). Variables útiles para Perumoney: días desde la operación anterior, antigüedad del cliente, desviación del monto respecto a su promedio, volatilidad, país de alto riesgo y bandera de fraccionamiento (&lt;10k). One-Class SVM entrenado SOLO con operaciones no marcadas (no requiere etiquetas): P@5% 99,26 % en test, AP 0,85, ROC 0,85; supera a Isolation Forest (P@5% 83,99 %). Ablación: sin embeddings GNN o VAE el AP cae. Validado operativamente en otra entidad de Kenia (1000 tps). OJO: la 'verdad' para evaluar son las propias reglas (proxy), no ROS confirmados; los autores lo reconocen. Responde P2, P3, P4, P5. Código y datos: github.com/cokungu1/TT</t>
      </text>
    </comment>
    <comment ref="K7" authorId="1" shapeId="0">
      <text>
        <t>Machine Learning with Applications: 2026 aún no publicado; se usa 2025 = Q1 (Artificial Intelligence, Computer Science Applications, Information Systems). Captura en Capturas_Scimago/.</t>
      </text>
    </comment>
    <comment ref="E8" authorId="2" shapeId="0">
      <text>
        <t>PDF no disponible en acceso abierto (IEEE, de pago): bajar desde la biblioteca UPC. País pendiente: no figura la afiliación en la lista de candidatos.
LECTURA COMPLETA: CUMPLE (falta cuartil). Qilu University of Technology, China. MLaD2: red de relaciones entre cuentas por similitud + GNN + pre-entrenamiento autosupervisado contrastivo y ajuste fino con pocas etiquetas. Datos reales de una agencia policial china (caso de juego ilegal, 51 326 transacciones). Con solo 10 % de etiquetas supera a XGBoost (+2,7 % F1), GAT/EvolveGCN y a no supervisados (FlowScope, MonLAD: +24,8 % F1). Respalda lo que el Cap. 1 le atribuye (menor dependencia de etiquetas). Limitaciones (de los autores): un solo dataset pequeño y antiguo, poca interpretabilidad; requiere grafo de transferencias entre cuentas (Perumoney no lo tiene) y algunas etiquetas. Responde P3, P4, P5.</t>
      </text>
    </comment>
    <comment ref="K8" authorId="1" shapeId="0">
      <text>
        <t>IEEE Trans. on Information Forensics and Security 2024: Q1 (Computer Networks and Communications; Safety, Risk, Reliability and Quality). Captura en Capturas_Scimago/.</t>
      </text>
    </comment>
    <comment ref="E9" authorId="0" shapeId="0">
      <text>
        <t>Leído completo (versión aceptada del autor, repositorio NTNU). Datos reales de BN Bank (Noruega), PYMES, 500 767 observaciones, 2021-2023. XGBoost/LGBM/HistGB; AUC 0,94 combinando datos bancarios + crédito + contables (solo bancarios: 0,81-0,85). Clasificación de riesgo del CLIENTE. Limitación para Perumoney: usa datos contables y de crédito de empresas, que una casa de cambio no tiene de personas naturales. Cuartil: pendiente.</t>
      </text>
    </comment>
    <comment ref="K9" authorId="1" shapeId="0">
      <text>
        <t>Journal of Money Laundering Control 2025: Q1 en Economics, Econometrics and Finance (misc.) y en Law; Q2 en Public Administration. Se toma la categoría de finanzas. Captura en Capturas_Scimago/.</t>
      </text>
    </comment>
    <comment ref="E10" authorId="1" shapeId="0">
      <text>
        <t>Leído completo; cumple CI1-CI5 y no cae en CE1-CE4. Falta verificar cuartil en Scimago (columna K). Viene de Candidatos_Joaquin.xlsx fila 19.</t>
      </text>
    </comment>
    <comment ref="K10" authorId="1" shapeId="0">
      <text>
        <t>IEEE Access 2024: Q1 en Computer Science (misc.) y Engineering (misc.). Captura en Capturas_Scimago/.</t>
      </text>
    </comment>
    <comment ref="E11" authorId="1" shapeId="0">
      <text>
        <t>Leído completo; cumple CI1-CI5 y no cae en CE1-CE4. Falta verificar cuartil en Scimago (columna K). Viene de Candidatos_Joaquin.xlsx fila 21.</t>
      </text>
    </comment>
    <comment ref="E12" authorId="1" shapeId="0">
      <text>
        <t>LECTURA COMPLETA: CUMPLE (Q1). Pese a decir 'fraud', predice eventos SAR (reporte de operación sospechosa de lavado) a partir de alertas SAM de un banco real de Taiwán, con escenarios definidos según la tipología oficial de LA/FT del regulador. Convierte transacciones irregulares de los 15 días hábiles previos en series regulares, autoencoder con self-attention + GNN de relaciones entre clientes + generación de casos (CVAE/WGAN) para el desbalance. Supervisado (etiqueta = decisión del área legal). Compara con XGBoost y redes profundas: AUPRC 27 % vs 0,66-22,15 % (SAR desde alertas) y 22,9 % vs 2,5-22 % (SAR fuera de alertas). Limitación: un solo banco; requiere relaciones entre clientes. Útil para P2 (variables de ventana temporal), P3, P4 y P5 (AUPRC con datos reales y desbalance). Viene de Candidatos_Joaquin.xlsx fila 39.</t>
      </text>
    </comment>
    <comment ref="E13" authorId="3" shapeId="0">
      <text>
        <t>LECTURA COMPLETA: CUMPLE (IEEE Access, Q1 2025). Univ. de Salford, Reino Unido. Datos reales (FinCEN Files, SAR filtrados 1999-2017). Benchmark supervisado (RF/XGBoost AUC ~0,97) vs no supervisado (Isolation Forest/One-Class SVM &lt; 0,75): útil para P4. Debilidades: la etiqueta la construyen los autores con su score de riesgo (parcialmente circular), test de 41 casos, transacciones banco-a-banco. Viene de Candidatos fila 55.</t>
      </text>
    </comment>
    <comment ref="E14" authorId="3" shapeId="0">
      <text>
        <t>LECTURA COMPLETA: cumple en lo formal (JMLC 2023, Q2), pero débil. Capitol Technology Univ., EE. UU. Árbol de decisión y otros clasificadores para predecir si una transacción sobre el umbral debe reportarse (SAR); identifica los atributos relevantes (P2). Datos SINTÉTICOS (transacciones públicas modificadas), un solo escenario. Año 2023 (límite CE2). Viene de Candidatos fila 43.</t>
      </text>
    </comment>
    <comment ref="E15" authorId="4" shapeId="0">
      <text>
        <t>LECTURA COMPLETA: cumple (Q1, categoría Multidisciplinary). IT University of Copenhagen, Dinamarca. Propone un escenario de evaluación realista en dos pasos (cada banco marca sus operaciones; la autoridad analiza solo lo marcado). Con datos SINTÉTICOS (IBM-AML) y modelos de grafos (FraudGT, GatedGCN): el F1 cae de 0,32/0,71 a 0,12/0,56 en el escenario realista, y usar un modelo más simple en un paso lo sube a 0,49/0,85. Útil para P5 (validación realista) y P4. Viene de Candidatos fila 52.</t>
      </text>
    </comment>
    <comment ref="E16" authorId="4" shapeId="0">
      <text>
        <t>LECTURA COMPLETA: cumple (Q2), pero débil. Royal Roads University, Canadá. NB, RF, regresión logística, CatBoost y red neuronal sobre datos SIMULADOS de bancos de Medio Oriente (2 340 observaciones). Accuracy ~77 % (NB y RF), ANN 80 %; RF: precisión 0,87, recall 0,72. Útil para P2: hora del día, día de la semana, tipo (cash-in/transfer-out) y etapa del lavado como variables. Viene de Candidatos fila 27.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1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6" customWidth="1" style="21" min="1" max="1"/>
    <col width="100" customWidth="1" style="21" min="2" max="2"/>
  </cols>
  <sheetData>
    <row r="1" ht="17.35" customHeight="1" s="22">
      <c r="A1" s="23" t="inlineStr">
        <is>
          <t>Cómo usar este archivo</t>
        </is>
      </c>
    </row>
    <row r="3" ht="15" customHeight="1" s="22">
      <c r="A3" s="24" t="n"/>
      <c r="B3" s="25" t="inlineStr">
        <is>
          <t>Este archivo es solo tu parte: 12 artículos. Carlos ya hizo las búsquedas y te pasó tu lista de candidatos.</t>
        </is>
      </c>
    </row>
    <row r="4" ht="15" customHeight="1" s="22">
      <c r="A4" s="24" t="n"/>
      <c r="B4" s="25" t="n"/>
    </row>
    <row r="5" ht="15" customHeight="1" s="22">
      <c r="A5" s="24" t="inlineStr">
        <is>
          <t>1</t>
        </is>
      </c>
      <c r="B5" s="25" t="inlineStr">
        <is>
          <t>Pestaña "1. Mis articulos": registras tus 12 artículos. Ya tienes 5 cargados para empezar.</t>
        </is>
      </c>
    </row>
    <row r="6" ht="15" customHeight="1" s="22">
      <c r="A6" s="24" t="inlineStr">
        <is>
          <t>2</t>
        </is>
      </c>
      <c r="B6" s="25" t="inlineStr">
        <is>
          <t>Pestaña "2. Mi avance": no se toca. Muestra cuánto llevas.</t>
        </is>
      </c>
    </row>
    <row r="7" ht="15" customHeight="1" s="22">
      <c r="A7" s="24" t="n"/>
      <c r="B7" s="25" t="inlineStr">
        <is>
          <t>Los filtros (título, resumen, cuartil...) se hacen en el otro archivo: Candidatos_Joaquin.xlsx.</t>
        </is>
      </c>
    </row>
    <row r="8" ht="15" customHeight="1" s="22">
      <c r="A8" s="24" t="n"/>
      <c r="B8" s="25" t="n"/>
    </row>
    <row r="9" ht="15" customHeight="1" s="22">
      <c r="A9" s="24" t="n"/>
      <c r="B9" s="26" t="inlineStr">
        <is>
          <t>COLORES</t>
        </is>
      </c>
    </row>
    <row r="10" ht="15" customHeight="1" s="22">
      <c r="A10" s="24" t="n"/>
      <c r="B10" s="27" t="inlineStr">
        <is>
          <t>Amarillo = lo llenas tú.</t>
        </is>
      </c>
    </row>
    <row r="11" ht="15" customHeight="1" s="22">
      <c r="A11" s="24" t="n"/>
      <c r="B11" s="28" t="inlineStr">
        <is>
          <t>Gris = lo completa Carlos después. No lo toques.</t>
        </is>
      </c>
    </row>
    <row r="12" ht="15" customHeight="1" s="22">
      <c r="A12" s="24" t="n"/>
      <c r="B12" s="29" t="inlineStr">
        <is>
          <t>Verde = se calcula solo.</t>
        </is>
      </c>
    </row>
    <row r="13" ht="15" customHeight="1" s="22">
      <c r="A13" s="24" t="n"/>
      <c r="B13" s="25" t="n"/>
    </row>
    <row r="14" ht="15" customHeight="1" s="22">
      <c r="A14" s="24" t="n"/>
      <c r="B14" s="25" t="inlineStr">
        <is>
          <t>AL TERMINAR: le pasas a Carlos este Excel, Candidatos_Joaquin.xlsx, tus 12 PDF y tus 12 capturas de Scimago.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V1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A1" activeCellId="0" sqref="A1"/>
    </sheetView>
  </sheetViews>
  <sheetFormatPr baseColWidth="8" defaultColWidth="8.6796875" defaultRowHeight="15" zeroHeight="0" outlineLevelRow="0"/>
  <cols>
    <col width="5" customWidth="1" style="21" min="1" max="1"/>
    <col width="16" customWidth="1" style="21" min="2" max="2"/>
    <col width="12" customWidth="1" style="21" min="3" max="3"/>
    <col width="18" customWidth="1" style="21" min="4" max="4"/>
    <col width="42" customWidth="1" style="21" min="5" max="5"/>
    <col width="24" customWidth="1" style="21" min="6" max="6"/>
    <col width="7" customWidth="1" style="21" min="7" max="7"/>
    <col width="24" customWidth="1" style="21" min="8" max="8"/>
    <col width="28" customWidth="1" style="21" min="9" max="9"/>
    <col width="12" customWidth="1" style="21" min="10" max="10"/>
    <col width="11" customWidth="1" style="21" min="11" max="13"/>
    <col width="24" customWidth="1" style="21" min="14" max="14"/>
    <col width="22" customWidth="1" style="21" min="15" max="17"/>
    <col width="20" customWidth="1" style="21" min="18" max="18"/>
    <col width="30" customWidth="1" style="21" min="19" max="20"/>
    <col width="9" customWidth="1" style="21" min="21" max="21"/>
    <col width="14" customWidth="1" style="21" min="22" max="22"/>
  </cols>
  <sheetData>
    <row r="1" ht="17.35" customHeight="1" s="22">
      <c r="A1" s="23" t="inlineStr">
        <is>
          <t>Tus 12 artículos. Solo llenas la parte amarilla.</t>
        </is>
      </c>
    </row>
    <row r="2" ht="15" customHeight="1" s="22">
      <c r="A2" s="30" t="inlineStr">
        <is>
          <t>LO LLENAS TÚ</t>
        </is>
      </c>
      <c r="B2" s="31" t="n"/>
      <c r="C2" s="31" t="n"/>
      <c r="D2" s="31" t="n"/>
      <c r="E2" s="31" t="n"/>
      <c r="F2" s="31" t="n"/>
      <c r="G2" s="31" t="n"/>
      <c r="H2" s="31" t="n"/>
      <c r="I2" s="31" t="n"/>
      <c r="J2" s="31" t="n"/>
      <c r="K2" s="31" t="n"/>
      <c r="L2" s="31" t="n"/>
      <c r="M2" s="32" t="inlineStr">
        <is>
          <t>LO COMPLETA CARLOS (no tocar)</t>
        </is>
      </c>
      <c r="N2" s="31" t="n"/>
      <c r="O2" s="31" t="n"/>
      <c r="P2" s="31" t="n"/>
      <c r="Q2" s="31" t="n"/>
      <c r="R2" s="31" t="n"/>
      <c r="S2" s="31" t="n"/>
      <c r="T2" s="31" t="n"/>
      <c r="U2" s="31" t="n"/>
      <c r="V2" s="31" t="n"/>
    </row>
    <row r="3" ht="36" customHeight="1" s="22">
      <c r="A3" s="33" t="inlineStr">
        <is>
          <t>N.°</t>
        </is>
      </c>
      <c r="B3" s="33" t="inlineStr">
        <is>
          <t>Quién lo encontró</t>
        </is>
      </c>
      <c r="C3" s="33" t="inlineStr">
        <is>
          <t>Responsable</t>
        </is>
      </c>
      <c r="D3" s="33" t="inlineStr">
        <is>
          <t>Contexto</t>
        </is>
      </c>
      <c r="E3" s="33" t="inlineStr">
        <is>
          <t>Título</t>
        </is>
      </c>
      <c r="F3" s="33" t="inlineStr">
        <is>
          <t>Autores</t>
        </is>
      </c>
      <c r="G3" s="33" t="inlineStr">
        <is>
          <t>Año</t>
        </is>
      </c>
      <c r="H3" s="33" t="inlineStr">
        <is>
          <t>Revista</t>
        </is>
      </c>
      <c r="I3" s="33" t="inlineStr">
        <is>
          <t>DOI o enlace</t>
        </is>
      </c>
      <c r="J3" s="33" t="inlineStr">
        <is>
          <t>País</t>
        </is>
      </c>
      <c r="K3" s="33" t="inlineStr">
        <is>
          <t>Cuartil Scimago</t>
        </is>
      </c>
      <c r="L3" s="33" t="inlineStr">
        <is>
          <t>¿PDF descargado?</t>
        </is>
      </c>
      <c r="M3" s="34" t="inlineStr">
        <is>
          <t>Preguntas que responde</t>
        </is>
      </c>
      <c r="N3" s="34" t="inlineStr">
        <is>
          <t>Técnica</t>
        </is>
      </c>
      <c r="O3" s="34" t="inlineStr">
        <is>
          <t>Variables</t>
        </is>
      </c>
      <c r="P3" s="34" t="inlineStr">
        <is>
          <t>Componentes</t>
        </is>
      </c>
      <c r="Q3" s="34" t="inlineStr">
        <is>
          <t>Cómo validó</t>
        </is>
      </c>
      <c r="R3" s="34" t="inlineStr">
        <is>
          <t>Datos usados</t>
        </is>
      </c>
      <c r="S3" s="34" t="inlineStr">
        <is>
          <t>Hallazgo principal</t>
        </is>
      </c>
      <c r="T3" s="34" t="inlineStr">
        <is>
          <t>Qué aporta a la tesis</t>
        </is>
      </c>
      <c r="U3" s="34" t="inlineStr">
        <is>
          <t>¿Aporta?</t>
        </is>
      </c>
      <c r="V3" s="34" t="inlineStr">
        <is>
          <t>Estado</t>
        </is>
      </c>
    </row>
    <row r="4" ht="19.5" customHeight="1" s="22">
      <c r="A4" s="35" t="inlineStr">
        <is>
          <t>ARTÍCULOS DE JOAQUÍN (12)</t>
        </is>
      </c>
    </row>
    <row r="5" ht="45.75" customHeight="1" s="22">
      <c r="A5" s="36" t="n">
        <v>1</v>
      </c>
      <c r="B5" s="37" t="inlineStr">
        <is>
          <t>Preseleccionado</t>
        </is>
      </c>
      <c r="C5" s="37" t="inlineStr">
        <is>
          <t>Joaquín</t>
        </is>
      </c>
      <c r="D5" s="37" t="inlineStr">
        <is>
          <t>Banco o entidad financiera</t>
        </is>
      </c>
      <c r="E5" s="37" t="inlineStr">
        <is>
          <t>Comparative analysis of machine learning algorithms for money laundering detection</t>
        </is>
      </c>
      <c r="F5" s="37" t="inlineStr">
        <is>
          <t>Ajagbe, Majola y Mudali</t>
        </is>
      </c>
      <c r="G5" s="38" t="n">
        <v>2025</v>
      </c>
      <c r="H5" s="37" t="inlineStr">
        <is>
          <t>Discover Artificial Intelligence</t>
        </is>
      </c>
      <c r="I5" s="37" t="inlineStr">
        <is>
          <t>https://doi.org/10.1007/s44163-025-00397-4</t>
        </is>
      </c>
      <c r="J5" s="37" t="inlineStr">
        <is>
          <t>Sudáfrica</t>
        </is>
      </c>
      <c r="K5" s="38" t="inlineStr">
        <is>
          <t>Q1</t>
        </is>
      </c>
      <c r="L5" s="38" t="inlineStr">
        <is>
          <t>Sí</t>
        </is>
      </c>
      <c r="M5" s="39" t="inlineStr">
        <is>
          <t>P3, P4</t>
        </is>
      </c>
      <c r="N5" s="40" t="inlineStr">
        <is>
          <t>Comparación de XGBoost, KNN, Random Forest, Isolation Forest y SVM</t>
        </is>
      </c>
      <c r="O5" s="40" t="inlineStr">
        <is>
          <t>Monto pagado/recibido, moneda, formato de pago, fecha y cuentas origen/destino (dataset IBM AML)</t>
        </is>
      </c>
      <c r="P5" s="40" t="inlineStr">
        <is>
          <t>Preprocesamiento, motor de detección con varios algoritmos, panel de alertas (propuesto, no implementado)</t>
        </is>
      </c>
      <c r="Q5" s="40" t="inlineStr">
        <is>
          <t>Partición 80/20; accuracy, precisión, recall, F1 y AUC</t>
        </is>
      </c>
      <c r="R5" s="40" t="inlineStr">
        <is>
          <t>Dataset IBM AML de Kaggle (sintético, aunque el artículo lo llama real)</t>
        </is>
      </c>
      <c r="S5" s="40" t="inlineStr">
        <is>
          <t>XGBoost obtiene el mejor resultado (accuracy 1,00; AUC 0,94); Isolation Forest AUC 0,62. No compara contra reglas</t>
        </is>
      </c>
      <c r="T5" s="40" t="inlineStr">
        <is>
          <t>Referencia de comparación de algoritmos; muestra el riesgo de métricas infladas con datos sintéticos. Corregir lo que el Cap. 1 le atribuye</t>
        </is>
      </c>
      <c r="U5" s="39" t="inlineStr">
        <is>
          <t>Sí</t>
        </is>
      </c>
      <c r="V5" s="39" t="inlineStr">
        <is>
          <t>Pendiente</t>
        </is>
      </c>
    </row>
    <row r="6" ht="45.75" customHeight="1" s="22">
      <c r="A6" s="36" t="n">
        <v>2</v>
      </c>
      <c r="B6" s="37" t="inlineStr">
        <is>
          <t>Preseleccionado</t>
        </is>
      </c>
      <c r="C6" s="37" t="inlineStr">
        <is>
          <t>Joaquín</t>
        </is>
      </c>
      <c r="D6" s="37" t="inlineStr">
        <is>
          <t>Banco o entidad financiera</t>
        </is>
      </c>
      <c r="E6" s="37" t="inlineStr">
        <is>
          <t>Automatic suppression of false positive alerts in anti-money laundering systems using machine learning</t>
        </is>
      </c>
      <c r="F6" s="37" t="inlineStr">
        <is>
          <t>Bakry, Alsharkawy, Farag y Raslan</t>
        </is>
      </c>
      <c r="G6" s="38" t="n">
        <v>2024</v>
      </c>
      <c r="H6" s="37" t="inlineStr">
        <is>
          <t>The Journal of Supercomputing</t>
        </is>
      </c>
      <c r="I6" s="37" t="inlineStr">
        <is>
          <t>https://doi.org/10.1007/s11227-023-05708-z</t>
        </is>
      </c>
      <c r="J6" s="37" t="inlineStr">
        <is>
          <t>Egipto</t>
        </is>
      </c>
      <c r="K6" s="38" t="inlineStr">
        <is>
          <t>Q2</t>
        </is>
      </c>
      <c r="L6" s="38" t="inlineStr">
        <is>
          <t>Sí</t>
        </is>
      </c>
      <c r="M6" s="39" t="inlineStr">
        <is>
          <t>P1, P2, P3, P5</t>
        </is>
      </c>
      <c r="N6" s="40" t="inlineStr">
        <is>
          <t>ASXAML: XGBoost con selección de variables RFECV y ajuste de hiperparámetros con Optuna</t>
        </is>
      </c>
      <c r="O6" s="40" t="inlineStr">
        <is>
          <t>Conteo de alertas por cada uno de 46 escenarios de reglas, por cliente, en 6 meses</t>
        </is>
      </c>
      <c r="P6" s="40" t="inlineStr">
        <is>
          <t>Sistema de reglas → perfil del cliente con sus alertas → selección de variables → clasificador → supresión de alertas bajo un umbral</t>
        </is>
      </c>
      <c r="Q6" s="40" t="inlineStr">
        <is>
          <t>Partición 70/30 y validación cruzada (2 a 10 particiones); F-beta, recall y % de falsos positivos reducidos; comparación con SVM, RF, KNN, NB y árbol</t>
        </is>
      </c>
      <c r="R6" s="40" t="inlineStr">
        <is>
          <t>Datos reales de un banco de Egipto: 210 996 clientes con alertas (6 420 importantes)</t>
        </is>
      </c>
      <c r="S6" s="40" t="inlineStr">
        <is>
          <t>F-beta 0,86, recall 0,92 y 73 % menos falsos positivos; supera a los demás clasificadores en recall</t>
        </is>
      </c>
      <c r="T6" s="40" t="inlineStr">
        <is>
          <t>Modelo para priorizar/suprimir alertas de un sistema de reglas; uso de F-beta para privilegiar no perder casos</t>
        </is>
      </c>
      <c r="U6" s="39" t="inlineStr">
        <is>
          <t>Sí</t>
        </is>
      </c>
      <c r="V6" s="39" t="inlineStr">
        <is>
          <t>Pendiente</t>
        </is>
      </c>
    </row>
    <row r="7" ht="45.75" customHeight="1" s="22">
      <c r="A7" s="36" t="n">
        <v>3</v>
      </c>
      <c r="B7" s="37" t="inlineStr">
        <is>
          <t>Preseleccionado</t>
        </is>
      </c>
      <c r="C7" s="37" t="inlineStr">
        <is>
          <t>Joaquín</t>
        </is>
      </c>
      <c r="D7" s="37" t="inlineStr">
        <is>
          <t>Banco o entidad financiera</t>
        </is>
      </c>
      <c r="E7" s="37" t="inlineStr">
        <is>
          <t>Hybrid deep learning for anti-money laundering: Unsupervised detection of emerging schemes via feature fusion and explainable artificial intelligence</t>
        </is>
      </c>
      <c r="F7" s="37" t="inlineStr">
        <is>
          <t>Kungu, Senagi y Omondi</t>
        </is>
      </c>
      <c r="G7" s="38" t="n">
        <v>2026</v>
      </c>
      <c r="H7" s="37" t="inlineStr">
        <is>
          <t>Machine Learning with Applications</t>
        </is>
      </c>
      <c r="I7" s="37" t="inlineStr">
        <is>
          <t>https://doi.org/10.1016/j.mlwa.2026.100856</t>
        </is>
      </c>
      <c r="J7" s="37" t="inlineStr">
        <is>
          <t>Kenia</t>
        </is>
      </c>
      <c r="K7" s="38" t="inlineStr">
        <is>
          <t>Q1</t>
        </is>
      </c>
      <c r="L7" s="38" t="inlineStr">
        <is>
          <t>Sí</t>
        </is>
      </c>
      <c r="M7" s="39" t="inlineStr">
        <is>
          <t>P2, P3, P4, P5</t>
        </is>
      </c>
      <c r="N7" s="40" t="inlineStr">
        <is>
          <t>Híbrido: embeddings VAE + GNN + reglas; One-Class SVM comparado con Isolation Forest y LOF; explicación con SHAP</t>
        </is>
      </c>
      <c r="O7" s="40" t="inlineStr">
        <is>
          <t>Días desde la operación anterior, antigüedad del cliente, log del monto, desvío del monto respecto al promedio del cliente, desviación estándar del cliente, país de alto riesgo, bandera de fraccionamiento (&lt; USD 10 000)</t>
        </is>
      </c>
      <c r="P7" s="40" t="inlineStr">
        <is>
          <t>Preprocesamiento, ingeniería de variables, embeddings VAE y GNN, detector de novedades, cola de alertas priorizada (top 5 %), explicabilidad</t>
        </is>
      </c>
      <c r="Q7" s="40" t="inlineStr">
        <is>
          <t>Entrena solo con operaciones no marcadas (sin etiquetas); evalúa con las reglas como referencia: Precision@5 %, AP, ROC-AUC; validación operativa en otra entidad de Kenia</t>
        </is>
      </c>
      <c r="R7" s="40" t="inlineStr">
        <is>
          <t>54 258 pagos SWIFT reales de un banco de África Oriental (9 meses de 2024)</t>
        </is>
      </c>
      <c r="S7" s="40" t="inlineStr">
        <is>
          <t>Precision@5 % de 99,26 % en test (Isolation Forest 83,99 %); AP 0,85; procesa 1 000 transacciones/s</t>
        </is>
      </c>
      <c r="T7" s="40" t="inlineStr">
        <is>
          <t>Enfoque no supervisado con priorización y variables de comportamiento directamente aplicables a Perumoney (IE5, IE10)</t>
        </is>
      </c>
      <c r="U7" s="39" t="inlineStr">
        <is>
          <t>Sí</t>
        </is>
      </c>
      <c r="V7" s="39" t="inlineStr">
        <is>
          <t>Pendiente</t>
        </is>
      </c>
    </row>
    <row r="8" ht="45.75" customHeight="1" s="22">
      <c r="A8" s="36" t="n">
        <v>4</v>
      </c>
      <c r="B8" s="37" t="inlineStr">
        <is>
          <t>Preseleccionado</t>
        </is>
      </c>
      <c r="C8" s="37" t="inlineStr">
        <is>
          <t>Joaquín</t>
        </is>
      </c>
      <c r="D8" s="37" t="inlineStr">
        <is>
          <t>Banco o entidad financiera</t>
        </is>
      </c>
      <c r="E8" s="37" t="inlineStr">
        <is>
          <t>MLaD2: A semi-supervised money laundering detection framework based on decoupling training</t>
        </is>
      </c>
      <c r="F8" s="37" t="inlineStr">
        <is>
          <t>Luo, Han, Zuo, Wu y Liu</t>
        </is>
      </c>
      <c r="G8" s="38" t="n">
        <v>2024</v>
      </c>
      <c r="H8" s="37" t="inlineStr">
        <is>
          <t>IEEE Transactions on Information Forensics and Security</t>
        </is>
      </c>
      <c r="I8" s="37" t="inlineStr">
        <is>
          <t>https://doi.org/10.1109/TIFS.2024.3380262</t>
        </is>
      </c>
      <c r="J8" s="37" t="inlineStr">
        <is>
          <t>China</t>
        </is>
      </c>
      <c r="K8" s="38" t="inlineStr">
        <is>
          <t>Q1</t>
        </is>
      </c>
      <c r="L8" s="38" t="inlineStr">
        <is>
          <t>Sí</t>
        </is>
      </c>
      <c r="M8" s="39" t="inlineStr">
        <is>
          <t>P3, P4, P5</t>
        </is>
      </c>
      <c r="N8" s="40" t="inlineStr">
        <is>
          <t>MLaD2: red de relaciones entre cuentas por similitud + GNN + pre-entrenamiento autosupervisado contrastivo y ajuste fino con pocas etiquetas</t>
        </is>
      </c>
      <c r="O8" s="40" t="inlineStr">
        <is>
          <t>Registros de transacciones entre cuentas y estadísticas por cuenta</t>
        </is>
      </c>
      <c r="P8" s="40" t="inlineStr">
        <is>
          <t>Construcción de la red de cuentas, pre-entrenamiento, ajuste fino, clasificador de cuentas</t>
        </is>
      </c>
      <c r="Q8" s="40" t="inlineStr">
        <is>
          <t>Partición 70/10/20; F1, accuracy y FPR; entrenamiento con 10-40 % de etiquetas; comparación con XGBoost, GAT, EvolveGCN, DGI, DCI, FlowScope y MonLAD</t>
        </is>
      </c>
      <c r="R8" s="40" t="inlineStr">
        <is>
          <t>Datos reales de una agencia policial china (caso de juego ilegal), 51 326 transacciones</t>
        </is>
      </c>
      <c r="S8" s="40" t="inlineStr">
        <is>
          <t>Con solo 10 % de etiquetas supera a XGBoost (+2,7 % F1) y a los no supervisados (+24,8 % F1)</t>
        </is>
      </c>
      <c r="T8" s="40" t="inlineStr">
        <is>
          <t>Respalda los enfoques que dependen poco de casos etiquetados</t>
        </is>
      </c>
      <c r="U8" s="39" t="inlineStr">
        <is>
          <t>Sí</t>
        </is>
      </c>
      <c r="V8" s="39" t="inlineStr">
        <is>
          <t>Pendiente</t>
        </is>
      </c>
    </row>
    <row r="9" ht="45.75" customHeight="1" s="22">
      <c r="A9" s="36" t="n">
        <v>5</v>
      </c>
      <c r="B9" s="37" t="inlineStr">
        <is>
          <t>Preseleccionado</t>
        </is>
      </c>
      <c r="C9" s="37" t="inlineStr">
        <is>
          <t>Joaquín</t>
        </is>
      </c>
      <c r="D9" s="37" t="inlineStr">
        <is>
          <t>Banco o entidad financiera</t>
        </is>
      </c>
      <c r="E9" s="37" t="inlineStr">
        <is>
          <t>Improving client risk classification with machine learning to increase anti-money laundering detection efficiency</t>
        </is>
      </c>
      <c r="F9" s="37" t="inlineStr">
        <is>
          <t>Reite, Karlsen y Westgaard</t>
        </is>
      </c>
      <c r="G9" s="38" t="n">
        <v>2025</v>
      </c>
      <c r="H9" s="37" t="inlineStr">
        <is>
          <t>Journal of Money Laundering Control</t>
        </is>
      </c>
      <c r="I9" s="37" t="inlineStr">
        <is>
          <t>https://doi.org/10.1108/JMLC-03-2024-0040</t>
        </is>
      </c>
      <c r="J9" s="37" t="inlineStr">
        <is>
          <t>Noruega</t>
        </is>
      </c>
      <c r="K9" s="38" t="inlineStr">
        <is>
          <t>Q1</t>
        </is>
      </c>
      <c r="L9" s="38" t="inlineStr">
        <is>
          <t>Sí</t>
        </is>
      </c>
      <c r="M9" s="39" t="inlineStr">
        <is>
          <t>P2, P3, P4</t>
        </is>
      </c>
      <c r="N9" s="40" t="inlineStr">
        <is>
          <t>Clasificación de riesgo del cliente con XGBoost, LGBM y HistGradientBoosting</t>
        </is>
      </c>
      <c r="O9" s="40" t="inlineStr">
        <is>
          <t>48 variables: datos bancarios (depósitos, préstamos, pagos al exterior y a países de riesgo), puntaje de crédito y datos contables</t>
        </is>
      </c>
      <c r="P9" s="40" t="inlineStr">
        <is>
          <t>Modelo de riesgo del cliente + umbrales (índice de Youden, distancia mínima) para ajustar las reglas de monitoreo</t>
        </is>
      </c>
      <c r="Q9" s="40" t="inlineStr">
        <is>
          <t>Validación cruzada estratificada respetando el tiempo; AUC y tasas de verdaderos y falsos positivos</t>
        </is>
      </c>
      <c r="R9" s="40" t="inlineStr">
        <is>
          <t>Datos reales de BN Bank (Noruega): 500 767 observaciones de PYMES, 9 831 alertas, 2021-2023</t>
        </is>
      </c>
      <c r="S9" s="40" t="inlineStr">
        <is>
          <t>AUC 0,94 combinando fuentes vs 0,81-0,85 solo con datos bancarios; puede reducir hasta 95 % de falsos positivos perdiendo un tercio de los casos</t>
        </is>
      </c>
      <c r="T9" s="40" t="inlineStr">
        <is>
          <t>Componente de riesgo del cliente que complementa el monitoreo transaccional</t>
        </is>
      </c>
      <c r="U9" s="39" t="inlineStr">
        <is>
          <t>Sí</t>
        </is>
      </c>
      <c r="V9" s="39" t="inlineStr">
        <is>
          <t>Pendiente</t>
        </is>
      </c>
    </row>
    <row r="10" ht="45.75" customHeight="1" s="22">
      <c r="A10" s="36" t="n">
        <v>6</v>
      </c>
      <c r="B10" s="37" t="inlineStr">
        <is>
          <t>Búsqueda propia</t>
        </is>
      </c>
      <c r="C10" s="37" t="inlineStr">
        <is>
          <t>Joaquín</t>
        </is>
      </c>
      <c r="D10" s="37" t="inlineStr">
        <is>
          <t>Banco o entidad financiera</t>
        </is>
      </c>
      <c r="E10" s="37" t="inlineStr">
        <is>
          <t>GCF-MLD: Integrated Approach for Money Laundering Detection Using Machine Learning and Graph Network Analysis</t>
        </is>
      </c>
      <c r="F10" s="37" t="inlineStr">
        <is>
          <t>Irshad, Alkhalifah, Alturise y Khan</t>
        </is>
      </c>
      <c r="G10" s="38" t="n">
        <v>2024</v>
      </c>
      <c r="H10" s="37" t="inlineStr">
        <is>
          <t>IEEE Access</t>
        </is>
      </c>
      <c r="I10" s="37" t="inlineStr">
        <is>
          <t>https://doi.org/10.1109/ACCESS.2024.3510115</t>
        </is>
      </c>
      <c r="J10" s="37" t="inlineStr">
        <is>
          <t>Pakistán</t>
        </is>
      </c>
      <c r="K10" s="38" t="inlineStr">
        <is>
          <t>Q1</t>
        </is>
      </c>
      <c r="L10" s="38" t="inlineStr">
        <is>
          <t>Sí</t>
        </is>
      </c>
      <c r="M10" s="39" t="inlineStr">
        <is>
          <t>P1, P2, P3, P5</t>
        </is>
      </c>
      <c r="N10" s="40" t="inlineStr">
        <is>
          <t>GCF-MLD: análisis de grafos (centralidad de grado, intermediación, PageRank) + k-means y clustering jerárquico (no supervisado)</t>
        </is>
      </c>
      <c r="O10" s="40" t="inlineStr">
        <is>
          <t>Totales de débito y crédito, monto, n.º de transacciones, intervalo promedio entre transacciones, tipos de transacción, contrapartes, estado/tipo/riesgo de la cuenta, fuente de ingresos y centralidades</t>
        </is>
      </c>
      <c r="P10" s="40" t="inlineStr">
        <is>
          <t>Grafo de transacciones, vector de variables fusionado, clustering, identificación de cuentas atípicas</t>
        </is>
      </c>
      <c r="Q10" s="40" t="inlineStr">
        <is>
          <t>Etiquetas usadas solo para evaluar; precisión, recall, F1, TPR, FPR y AUC</t>
        </is>
      </c>
      <c r="R10" s="40" t="inlineStr">
        <is>
          <t>Datos reales de un banco de Pakistán: 1,77 M transacciones de 9 925 cuentas alertadas (75 sospechosas)</t>
        </is>
      </c>
      <c r="S10" s="40" t="inlineStr">
        <is>
          <t>Clustering jerárquico: precisión 0,87, recall 0,83, F1 0,85, AUC 0,91; FPR &lt; 0,001</t>
        </is>
      </c>
      <c r="T10" s="40" t="inlineStr">
        <is>
          <t>Ejemplo de detección no supervisada evaluada con casos reales; variables por cuenta reutilizables</t>
        </is>
      </c>
      <c r="U10" s="39" t="inlineStr">
        <is>
          <t>Sí</t>
        </is>
      </c>
      <c r="V10" s="39" t="inlineStr">
        <is>
          <t>Pendiente</t>
        </is>
      </c>
    </row>
    <row r="11" ht="45.75" customHeight="1" s="22">
      <c r="A11" s="36" t="n">
        <v>7</v>
      </c>
      <c r="B11" s="37" t="inlineStr">
        <is>
          <t>Búsqueda propia</t>
        </is>
      </c>
      <c r="C11" s="37" t="inlineStr">
        <is>
          <t>Joaquín</t>
        </is>
      </c>
      <c r="D11" s="37" t="inlineStr">
        <is>
          <t>Banco o entidad financiera</t>
        </is>
      </c>
      <c r="E11" s="37" t="inlineStr">
        <is>
          <t>Incorporating machine learning and a risk-based strategy in an anti-money laundering multiagent system</t>
        </is>
      </c>
      <c r="F11" s="37" t="inlineStr">
        <is>
          <t>Alexandre y Balsa</t>
        </is>
      </c>
      <c r="G11" s="38" t="n">
        <v>2023</v>
      </c>
      <c r="H11" s="37" t="inlineStr">
        <is>
          <t>Expert Systems with Applications</t>
        </is>
      </c>
      <c r="I11" s="37" t="inlineStr">
        <is>
          <t>https://doi.org/10.1016/j.eswa.2023.119500</t>
        </is>
      </c>
      <c r="J11" s="37" t="inlineStr">
        <is>
          <t>Portugal</t>
        </is>
      </c>
      <c r="K11" s="38" t="inlineStr">
        <is>
          <t>Q1</t>
        </is>
      </c>
      <c r="L11" s="38" t="inlineStr">
        <is>
          <t>Sí</t>
        </is>
      </c>
      <c r="M11" s="39" t="inlineStr">
        <is>
          <t>P1, P2, P3, P5</t>
        </is>
      </c>
      <c r="N11" s="40" t="inlineStr">
        <is>
          <t>Sistema multiagente: k-means (5 perfiles de riesgo) + reglas J48 + reglas legales y de analistas + Índice de Sospecha</t>
        </is>
      </c>
      <c r="O11" s="40" t="inlineStr">
        <is>
          <t>Perfil transaccional del cliente con 11 atributos (montos, frecuencia, transferencias a otros bancos y cuentas)</t>
        </is>
      </c>
      <c r="P11" s="40" t="inlineStr">
        <is>
          <t>Agentes captadores por producto, base de conocimiento, priorización por índice, revisión por analistas</t>
        </is>
      </c>
      <c r="Q11" s="40" t="inlineStr">
        <is>
          <t>Validación con los analistas del banco sobre 6 meses: 189 clientes revisados</t>
        </is>
      </c>
      <c r="R11" s="40" t="inlineStr">
        <is>
          <t>Datos reales de un banco de Brasil: 30,5 M transacciones (2,4 M perfiles) para construir; 17,1 M transacciones de 3,2 M clientes para probar</t>
        </is>
      </c>
      <c r="S11" s="40" t="inlineStr">
        <is>
          <t>89 de 189 clientes confirmados como sospechosos (47 %), incluidos casos no detectados por el sistema vigente</t>
        </is>
      </c>
      <c r="T11" s="40" t="inlineStr">
        <is>
          <t>Priorización con índice y validación con analistas, análoga al IE10; no requiere etiquetas</t>
        </is>
      </c>
      <c r="U11" s="39" t="inlineStr">
        <is>
          <t>Sí</t>
        </is>
      </c>
      <c r="V11" s="39" t="inlineStr">
        <is>
          <t>Pendiente</t>
        </is>
      </c>
    </row>
    <row r="12" ht="45.75" customHeight="1" s="22">
      <c r="A12" s="36" t="n">
        <v>8</v>
      </c>
      <c r="B12" s="37" t="inlineStr">
        <is>
          <t>Búsqueda propia</t>
        </is>
      </c>
      <c r="C12" s="37" t="inlineStr">
        <is>
          <t>Joaquín</t>
        </is>
      </c>
      <c r="D12" s="37" t="inlineStr">
        <is>
          <t>Banco o entidad financiera</t>
        </is>
      </c>
      <c r="E12" s="37" t="inlineStr">
        <is>
          <t>Fund transfer fraud detection: Analyzing irregular transactions and customer relationships with self-attention and graph neural networks</t>
        </is>
      </c>
      <c r="F12" s="37" t="inlineStr">
        <is>
          <t>Shih, Dai, Chen, Ti, Wang y Kuo</t>
        </is>
      </c>
      <c r="G12" s="38" t="n">
        <v>2025</v>
      </c>
      <c r="H12" s="37" t="inlineStr">
        <is>
          <t>Expert Systems with Applications</t>
        </is>
      </c>
      <c r="I12" s="37" t="inlineStr">
        <is>
          <t>https://doi.org/10.1016/j.eswa.2024.125211</t>
        </is>
      </c>
      <c r="J12" s="37" t="inlineStr">
        <is>
          <t>Taiwán</t>
        </is>
      </c>
      <c r="K12" s="38" t="inlineStr">
        <is>
          <t>Q1</t>
        </is>
      </c>
      <c r="L12" s="38" t="inlineStr">
        <is>
          <t>Sí</t>
        </is>
      </c>
      <c r="M12" s="39" t="inlineStr">
        <is>
          <t>P2, P3, P4, P5</t>
        </is>
      </c>
      <c r="N12" s="40" t="inlineStr">
        <is>
          <t>Autoencoder variacional con self-attention + GNN de relaciones entre clientes + CVAE/WGAN para el desbalance, entrenamiento de extremo a extremo</t>
        </is>
      </c>
      <c r="O12" s="40" t="inlineStr">
        <is>
          <t>Serie de transacciones de los 15 días hábiles previos (regularizada), datos del cliente (riesgo, segmento, tipo) y relaciones entre clientes</t>
        </is>
      </c>
      <c r="P12" s="40" t="inlineStr">
        <is>
          <t>Preprocesamiento de series irregulares, codificador, GNN, generador de casos, clasificador de eventos SAR</t>
        </is>
      </c>
      <c r="Q12" s="40" t="inlineStr">
        <is>
          <t>AUPRC frente a XGBoost y redes profundas; estudio de ablación</t>
        </is>
      </c>
      <c r="R12" s="40" t="inlineStr">
        <is>
          <t>Datos reales de un banco de Taiwán (alertas del sistema de monitoreo y su decisión legal) y de un segundo banco</t>
        </is>
      </c>
      <c r="S12" s="40" t="inlineStr">
        <is>
          <t>AUPRC de 27 % vs 0,66-22,15 % de los otros modelos</t>
        </is>
      </c>
      <c r="T12" s="40" t="inlineStr">
        <is>
          <t>Forma de convertir la historia transaccional de cada cliente en variables por ventana de tiempo</t>
        </is>
      </c>
      <c r="U12" s="39" t="inlineStr">
        <is>
          <t>Sí</t>
        </is>
      </c>
      <c r="V12" s="39" t="inlineStr">
        <is>
          <t>Pendiente</t>
        </is>
      </c>
    </row>
    <row r="13" ht="45.75" customHeight="1" s="22">
      <c r="A13" s="36" t="n">
        <v>9</v>
      </c>
      <c r="B13" s="37" t="inlineStr">
        <is>
          <t>Búsqueda propia</t>
        </is>
      </c>
      <c r="C13" s="37" t="inlineStr">
        <is>
          <t>Joaquín</t>
        </is>
      </c>
      <c r="D13" s="37" t="inlineStr">
        <is>
          <t>Banco o entidad financiera</t>
        </is>
      </c>
      <c r="E13" s="37" t="inlineStr">
        <is>
          <t>Machine Learning and Network Analysis for Cross-Border Suspicious Transaction Detection: Evidence From the FinCEN Files</t>
        </is>
      </c>
      <c r="F13" s="37" t="inlineStr">
        <is>
          <t>Ejime, Kosemani y Onyeorueka</t>
        </is>
      </c>
      <c r="G13" s="38" t="n">
        <v>2026</v>
      </c>
      <c r="H13" s="37" t="inlineStr">
        <is>
          <t>IEEE Access</t>
        </is>
      </c>
      <c r="I13" s="37" t="inlineStr">
        <is>
          <t>https://doi.org/10.1109/ACCESS.2026.3685103</t>
        </is>
      </c>
      <c r="J13" s="37" t="inlineStr">
        <is>
          <t>Reino Unido</t>
        </is>
      </c>
      <c r="K13" s="38" t="inlineStr">
        <is>
          <t>Q1</t>
        </is>
      </c>
      <c r="L13" s="38" t="inlineStr">
        <is>
          <t>Sí</t>
        </is>
      </c>
      <c r="M13" s="39" t="inlineStr">
        <is>
          <t>P1, P2, P4</t>
        </is>
      </c>
      <c r="N13" s="40" t="inlineStr">
        <is>
          <t>Regresión logística, Random Forest y XGBoost comparados con Isolation Forest y One-Class SVM; ARIMA y análisis de red</t>
        </is>
      </c>
      <c r="O13" s="40" t="inlineStr">
        <is>
          <t>Monto, centralidad de grado e intermediación, corredor de alto riesgo, paraíso fiscal, volatilidad, residuo ARIMA</t>
        </is>
      </c>
      <c r="P13" s="40" t="inlineStr">
        <is>
          <t>Estadística descriptiva, series de tiempo, mapa geográfico, análisis de red, puntaje de riesgo, clasificación</t>
        </is>
      </c>
      <c r="Q13" s="40" t="inlineStr">
        <is>
          <t>Validación cruzada estratificada de 5 particiones; test de 41 casos; análisis de sensibilidad de variables</t>
        </is>
      </c>
      <c r="R13" s="40" t="inlineStr">
        <is>
          <t>FinCEN Files (reportes SAR filtrados, 1999-2017): 4 507 grupos, más de 200 000 transacciones</t>
        </is>
      </c>
      <c r="S13" s="40" t="inlineStr">
        <is>
          <t>Supervisados AUC ~0,97-0,98 vs no supervisados &lt; 0,75; las métricas de red y los corredores de riesgo son las variables más importantes</t>
        </is>
      </c>
      <c r="T13" s="40" t="inlineStr">
        <is>
          <t>Comparación supervisado vs no supervisado; la etiqueta es construida por los autores (limitación)</t>
        </is>
      </c>
      <c r="U13" s="39" t="inlineStr">
        <is>
          <t>Sí</t>
        </is>
      </c>
      <c r="V13" s="39" t="inlineStr">
        <is>
          <t>Pendiente</t>
        </is>
      </c>
    </row>
    <row r="14" ht="45.75" customHeight="1" s="22">
      <c r="A14" s="36" t="n">
        <v>10</v>
      </c>
      <c r="B14" s="37" t="inlineStr">
        <is>
          <t>Búsqueda propia</t>
        </is>
      </c>
      <c r="C14" s="37" t="inlineStr">
        <is>
          <t>Joaquín</t>
        </is>
      </c>
      <c r="D14" s="37" t="inlineStr">
        <is>
          <t>Banco o entidad financiera</t>
        </is>
      </c>
      <c r="E14" s="37" t="inlineStr">
        <is>
          <t>The use of predictive modeling to identify relevant features for suspicious activity reporting</t>
        </is>
      </c>
      <c r="F14" s="37" t="inlineStr">
        <is>
          <t>Hayble-Gomes</t>
        </is>
      </c>
      <c r="G14" s="38" t="n">
        <v>2023</v>
      </c>
      <c r="H14" s="37" t="inlineStr">
        <is>
          <t>Journal of Money Laundering Control</t>
        </is>
      </c>
      <c r="I14" s="37" t="inlineStr">
        <is>
          <t>https://doi.org/10.1108/JMLC-02-2022-0034</t>
        </is>
      </c>
      <c r="J14" s="37" t="inlineStr">
        <is>
          <t>Estados Unidos</t>
        </is>
      </c>
      <c r="K14" s="38" t="inlineStr">
        <is>
          <t>Q2</t>
        </is>
      </c>
      <c r="L14" s="38" t="inlineStr">
        <is>
          <t>Sí</t>
        </is>
      </c>
      <c r="M14" s="39" t="inlineStr">
        <is>
          <t>P2, P3</t>
        </is>
      </c>
      <c r="N14" s="40" t="inlineStr">
        <is>
          <t>Regresión logística y árbol de decisión (reglas interpretables)</t>
        </is>
      </c>
      <c r="O14" s="40" t="inlineStr">
        <is>
          <t>Puntaje de alerta, regla y tipo de alerta, región, riesgo del país, antigüedad del cliente y de la cuenta, edad, monto, n.º de transacciones, SAR previo</t>
        </is>
      </c>
      <c r="P14" s="40" t="inlineStr">
        <is>
          <t>Clasificador de alertas para decidir el reporte; reglas derivadas del árbol</t>
        </is>
      </c>
      <c r="Q14" s="40" t="inlineStr">
        <is>
          <t>Partición 60/40 con balanceo ROSE; accuracy, AUC, TPR, FPR, FNR</t>
        </is>
      </c>
      <c r="R14" s="40" t="inlineStr">
        <is>
          <t>Datos sintéticos (transacciones públicas modificadas para imitar banca minorista de EE. UU.), un escenario, umbral USD 20 000</t>
        </is>
      </c>
      <c r="S14" s="40" t="inlineStr">
        <is>
          <t>Regresión logística: accuracy 98 %, AUC 0,97, recall 0,91; variables clave: SAR previo, edad, antigüedad, monto y puntaje de alerta</t>
        </is>
      </c>
      <c r="T14" s="40" t="inlineStr">
        <is>
          <t>Variables candidatas para el perfil de riesgo; reglas interpretables</t>
        </is>
      </c>
      <c r="U14" s="39" t="inlineStr">
        <is>
          <t>Sí</t>
        </is>
      </c>
      <c r="V14" s="39" t="inlineStr">
        <is>
          <t>Pendiente</t>
        </is>
      </c>
    </row>
    <row r="15" ht="45.75" customHeight="1" s="22">
      <c r="A15" s="36" t="n">
        <v>11</v>
      </c>
      <c r="B15" s="37" t="inlineStr">
        <is>
          <t>Búsqueda propia</t>
        </is>
      </c>
      <c r="C15" s="37" t="inlineStr">
        <is>
          <t>Joaquín</t>
        </is>
      </c>
      <c r="D15" s="37" t="inlineStr">
        <is>
          <t>Banco o entidad financiera</t>
        </is>
      </c>
      <c r="E15" s="37" t="inlineStr">
        <is>
          <t>Evaluating fraud detection algorithms in a decentralized scenario</t>
        </is>
      </c>
      <c r="F15" s="37" t="inlineStr">
        <is>
          <t>Gige, Buschmann Alsbirk y Coscia</t>
        </is>
      </c>
      <c r="G15" s="38" t="n">
        <v>2026</v>
      </c>
      <c r="H15" s="37" t="inlineStr">
        <is>
          <t>Royal Society Open Science</t>
        </is>
      </c>
      <c r="I15" s="37" t="inlineStr">
        <is>
          <t>https://doi.org/10.1098/rsos.251922</t>
        </is>
      </c>
      <c r="J15" s="37" t="inlineStr">
        <is>
          <t>Dinamarca</t>
        </is>
      </c>
      <c r="K15" s="38" t="inlineStr">
        <is>
          <t>Q1</t>
        </is>
      </c>
      <c r="L15" s="38" t="inlineStr">
        <is>
          <t>Sí</t>
        </is>
      </c>
      <c r="M15" s="39" t="inlineStr">
        <is>
          <t>P4, P5</t>
        </is>
      </c>
      <c r="N15" s="40" t="inlineStr">
        <is>
          <t>Escenario de evaluación descentralizado en dos pasos con modelos de grafos (FraudGT, GatedGCN)</t>
        </is>
      </c>
      <c r="O15" s="40" t="inlineStr">
        <is>
          <t>Transacciones entre cuentas con banco de origen, monto, moneda y formato de pago (IBM-AML)</t>
        </is>
      </c>
      <c r="P15" s="40" t="inlineStr">
        <is>
          <t>Paso 1: cada banco marca sus operaciones; paso 2: la autoridad analiza solo lo marcado</t>
        </is>
      </c>
      <c r="Q15" s="40" t="inlineStr">
        <is>
          <t>Comparación del escenario centralizado vs descentralizado; precisión, recall y F1</t>
        </is>
      </c>
      <c r="R15" s="40" t="inlineStr">
        <is>
          <t>Datos sintéticos IBM-AML (versiones de alto y bajo lavado)</t>
        </is>
      </c>
      <c r="S15" s="40" t="inlineStr">
        <is>
          <t>F1 cae de 0,32/0,71 a 0,12/0,56 en el escenario realista; con un modelo más simple en un paso sube a 0,49/0,85</t>
        </is>
      </c>
      <c r="T15" s="40" t="inlineStr">
        <is>
          <t>Advierte que la evaluación debe reflejar lo que la entidad realmente ve; los modelos simples pueden rendir mejor</t>
        </is>
      </c>
      <c r="U15" s="39" t="inlineStr">
        <is>
          <t>Sí</t>
        </is>
      </c>
      <c r="V15" s="39" t="inlineStr">
        <is>
          <t>Pendiente</t>
        </is>
      </c>
    </row>
    <row r="16" ht="45.75" customHeight="1" s="22">
      <c r="A16" s="36" t="n">
        <v>12</v>
      </c>
      <c r="B16" s="37" t="inlineStr">
        <is>
          <t>Búsqueda propia</t>
        </is>
      </c>
      <c r="C16" s="37" t="inlineStr">
        <is>
          <t>Joaquín</t>
        </is>
      </c>
      <c r="D16" s="37" t="inlineStr">
        <is>
          <t>Banco o entidad financiera</t>
        </is>
      </c>
      <c r="E16" s="37" t="inlineStr">
        <is>
          <t>Predicting Money Laundering Using Machine Learning and Artificial Neural Networks Algorithms in Banks</t>
        </is>
      </c>
      <c r="F16" s="37" t="inlineStr">
        <is>
          <t>Lokanan</t>
        </is>
      </c>
      <c r="G16" s="38" t="n">
        <v>2024</v>
      </c>
      <c r="H16" s="37" t="inlineStr">
        <is>
          <t>Journal of Applied Security Research</t>
        </is>
      </c>
      <c r="I16" s="37" t="inlineStr">
        <is>
          <t>https://doi.org/10.1080/19361610.2022.2114744</t>
        </is>
      </c>
      <c r="J16" s="37" t="inlineStr">
        <is>
          <t>Canadá</t>
        </is>
      </c>
      <c r="K16" s="38" t="inlineStr">
        <is>
          <t>Q2</t>
        </is>
      </c>
      <c r="L16" s="38" t="inlineStr">
        <is>
          <t>Sí</t>
        </is>
      </c>
      <c r="M16" s="39" t="inlineStr">
        <is>
          <t>P2, P3, P4</t>
        </is>
      </c>
      <c r="N16" s="40" t="inlineStr">
        <is>
          <t>Naive Bayes, Random Forest, regresión logística, CatBoost y red neuronal</t>
        </is>
      </c>
      <c r="O16" s="40" t="inlineStr">
        <is>
          <t>Tipo de transacción (cash-in/transfer-out), nivel del implicado, monto, fecha, hora y etapa del lavado</t>
        </is>
      </c>
      <c r="P16" s="40" t="inlineStr">
        <is>
          <t>Preprocesamiento, codificación de variables, clasificadores, matriz de confusión</t>
        </is>
      </c>
      <c r="Q16" s="40" t="inlineStr">
        <is>
          <t>Partición 60/40; accuracy, precisión, recall, F1 y AUC</t>
        </is>
      </c>
      <c r="R16" s="40" t="inlineStr">
        <is>
          <t>Datos simulados de bancos de Medio Oriente (2 340 observaciones)</t>
        </is>
      </c>
      <c r="S16" s="40" t="inlineStr">
        <is>
          <t>NB y RF ~77 % de accuracy, red neuronal 80 %; RF: precisión 0,87, recall 0,72; el lavado se concentra en horas de la mañana</t>
        </is>
      </c>
      <c r="T16" s="40" t="inlineStr">
        <is>
          <t>Variables temporales (hora, día) y de tipo de operación aplicables a la casa de cambio</t>
        </is>
      </c>
      <c r="U16" s="39" t="inlineStr">
        <is>
          <t>Sí</t>
        </is>
      </c>
      <c r="V16" s="39" t="inlineStr">
        <is>
          <t>Pendiente</t>
        </is>
      </c>
    </row>
  </sheetData>
  <mergeCells count="3">
    <mergeCell ref="A2:L2"/>
    <mergeCell ref="A4:V4"/>
    <mergeCell ref="M2:V2"/>
  </mergeCells>
  <dataValidations count="7">
    <dataValidation sqref="B5:B16" showDropDown="0" showInputMessage="0" showErrorMessage="0" allowBlank="1" type="list" errorStyle="stop" operator="between">
      <formula1>"Preseleccionado,Búsqueda propia"</formula1>
      <formula2>0</formula2>
    </dataValidation>
    <dataValidation sqref="C5:C16" showDropDown="0" showInputMessage="0" showErrorMessage="0" allowBlank="1" type="list" errorStyle="stop" operator="between">
      <formula1>"Carlos,Joaquín"</formula1>
      <formula2>0</formula2>
    </dataValidation>
    <dataValidation sqref="D5:D16" showDropDown="0" showInputMessage="0" showErrorMessage="0" allowBlank="1" type="list" errorStyle="stop" operator="between">
      <formula1>"Casa de cambio,Banco o entidad financiera,Otro"</formula1>
      <formula2>0</formula2>
    </dataValidation>
    <dataValidation sqref="K5:K16" showDropDown="0" showInputMessage="0" showErrorMessage="0" allowBlank="1" type="list" errorStyle="stop" operator="between">
      <formula1>"Q1,Q2,Q3,Q4,No aparece"</formula1>
      <formula2>0</formula2>
    </dataValidation>
    <dataValidation sqref="L5:L16" showDropDown="0" showInputMessage="0" showErrorMessage="0" allowBlank="1" type="list" errorStyle="stop" operator="between">
      <formula1>"Sí,No"</formula1>
      <formula2>0</formula2>
    </dataValidation>
    <dataValidation sqref="U5:U16" showDropDown="0" showInputMessage="0" showErrorMessage="0" allowBlank="1" type="list" errorStyle="stop" operator="between">
      <formula1>"Sí,No"</formula1>
      <formula2>0</formula2>
    </dataValidation>
    <dataValidation sqref="V5:V16" showDropDown="0" showInputMessage="0" showErrorMessage="0" allowBlank="1" type="list" errorStyle="stop" operator="between">
      <formula1>"Pendiente,Informe listo,Descartado"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B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6" customWidth="1" style="21" min="1" max="1"/>
    <col width="14" customWidth="1" style="21" min="2" max="2"/>
  </cols>
  <sheetData>
    <row r="1" ht="17.35" customHeight="1" s="22">
      <c r="A1" s="23" t="inlineStr">
        <is>
          <t>Resumen (se calcula solo, no tocar)</t>
        </is>
      </c>
    </row>
    <row r="2" ht="15" customHeight="1" s="22">
      <c r="A2" s="24" t="inlineStr">
        <is>
          <t>AVANCE</t>
        </is>
      </c>
    </row>
    <row r="3" ht="15" customHeight="1" s="22">
      <c r="A3" s="41" t="inlineStr">
        <is>
          <t>Artículos registrados (meta 12)</t>
        </is>
      </c>
      <c r="B3" s="42">
        <f>COUNTA('1. Mis articulos'!E5:E16)</f>
        <v/>
      </c>
    </row>
    <row r="4" ht="15" customHeight="1" s="22">
      <c r="A4" s="41" t="inlineStr">
        <is>
          <t>Con PDF descargado</t>
        </is>
      </c>
      <c r="B4" s="42">
        <f>COUNTIF('1. Mis articulos'!L5:L16,"Sí")</f>
        <v/>
      </c>
    </row>
    <row r="5" ht="15" customHeight="1" s="22">
      <c r="A5" s="41" t="inlineStr">
        <is>
          <t>Con cuartil Q1 o Q2 verificado</t>
        </is>
      </c>
      <c r="B5" s="42">
        <f>COUNTIF('1. Mis articulos'!K5:K16,"Q1")+COUNTIF('1. Mis articulos'!K5:K16,"Q2")</f>
        <v/>
      </c>
    </row>
    <row r="6" ht="15" customHeight="1" s="22">
      <c r="A6" s="41" t="inlineStr">
        <is>
          <t>Con informe listo</t>
        </is>
      </c>
      <c r="B6" s="42">
        <f>COUNTIF('1. Mis articulos'!V5:V16,"Informe listo")</f>
        <v/>
      </c>
    </row>
    <row r="7" ht="15" customHeight="1" s="22">
      <c r="A7" s="43" t="n"/>
    </row>
    <row r="8" ht="15" customHeight="1" s="22">
      <c r="A8" s="24" t="inlineStr">
        <is>
          <t>POR CONTEXTO</t>
        </is>
      </c>
    </row>
    <row r="9" ht="15" customHeight="1" s="22">
      <c r="A9" s="41" t="inlineStr">
        <is>
          <t>Casas de cambio</t>
        </is>
      </c>
      <c r="B9" s="42">
        <f>COUNTIF('1. Mis articulos'!D5:D16,"Casa de cambio")</f>
        <v/>
      </c>
    </row>
    <row r="10" ht="15" customHeight="1" s="22">
      <c r="A10" s="41" t="inlineStr">
        <is>
          <t>Bancos o entidades financieras</t>
        </is>
      </c>
      <c r="B10" s="42">
        <f>COUNTIF('1. Mis articulos'!D5:D16,"Banco o entidad financiera")</f>
        <v/>
      </c>
    </row>
    <row r="11" ht="15" customHeight="1" s="22">
      <c r="A11" s="43" t="n"/>
    </row>
    <row r="12" ht="15" customHeight="1" s="22">
      <c r="A12" s="24" t="inlineStr">
        <is>
          <t>POR PREGUNTA DE INVESTIGACIÓN</t>
        </is>
      </c>
    </row>
    <row r="13" ht="15" customHeight="1" s="22">
      <c r="A13" s="41" t="inlineStr">
        <is>
          <t>P1 Qué soluciones existen</t>
        </is>
      </c>
      <c r="B13" s="42">
        <f>COUNTIF('1. Mis articulos'!M5:M16,"*P1*")</f>
        <v/>
      </c>
    </row>
    <row r="14" ht="15" customHeight="1" s="22">
      <c r="A14" s="41" t="inlineStr">
        <is>
          <t>P2 De qué partes están hechas</t>
        </is>
      </c>
      <c r="B14" s="42">
        <f>COUNTIF('1. Mis articulos'!M5:M16,"*P2*")</f>
        <v/>
      </c>
    </row>
    <row r="15" ht="15" customHeight="1" s="22">
      <c r="A15" s="41" t="inlineStr">
        <is>
          <t>P3 Con qué técnicas</t>
        </is>
      </c>
      <c r="B15" s="42">
        <f>COUNTIF('1. Mis articulos'!M5:M16,"*P3*")</f>
        <v/>
      </c>
    </row>
    <row r="16" ht="15" customHeight="1" s="22">
      <c r="A16" s="41" t="inlineStr">
        <is>
          <t>P4 Cuál técnica funciona mejor</t>
        </is>
      </c>
      <c r="B16" s="42">
        <f>COUNTIF('1. Mis articulos'!M5:M16,"*P4*")</f>
        <v/>
      </c>
    </row>
    <row r="17" ht="15" customHeight="1" s="22">
      <c r="A17" s="41" t="inlineStr">
        <is>
          <t>P5 Cómo se valida</t>
        </is>
      </c>
      <c r="B17" s="42">
        <f>COUNTIF('1. Mis articulos'!M5:M16,"*P5*")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2026-10-02T23:20:40Z</dcterms:created>
  <dcterms:modified xmlns:dcterms="http://purl.org/dc/terms/" xmlns:xsi="http://www.w3.org/2001/XMLSchema-instance" xsi:type="dcterms:W3CDTF">2026-10-12T01:31:02Z</dcterms:modified>
  <cp:revision>0</cp:revision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0x01010079A9A32256AB0543B863AC6C35F3D1B6</vt:lpwstr>
  </property>
</Properties>
</file>